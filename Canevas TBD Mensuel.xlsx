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xWindow="0" yWindow="0" windowWidth="23040" windowHeight="9264" tabRatio="966"/>
  </bookViews>
  <sheets>
    <sheet name="Chiffre d'affaires" sheetId="1" r:id="rId1"/>
    <sheet name="Parc Abonné" sheetId="3" r:id="rId2"/>
    <sheet name="Activation-Desativation  SIM" sheetId="18" r:id="rId3"/>
    <sheet name="Reclamation" sheetId="24" r:id="rId4"/>
    <sheet name="E-payement" sheetId="33" r:id="rId5"/>
    <sheet name="Encaissements" sheetId="38" r:id="rId6"/>
    <sheet name="Rechargement" sheetId="43" r:id="rId7"/>
    <sheet name="Recouvrement" sheetId="39" r:id="rId8"/>
    <sheet name="Reseau technique" sheetId="14" r:id="rId9"/>
    <sheet name="Qualité  Reseau " sheetId="30" r:id="rId10"/>
    <sheet name="creances contentieuses " sheetId="42" r:id="rId11"/>
    <sheet name="RH" sheetId="26" r:id="rId12"/>
    <sheet name="Formation" sheetId="27" r:id="rId13"/>
    <sheet name="CR" sheetId="35" r:id="rId14"/>
    <sheet name="DR's" sheetId="44" r:id="rId15"/>
  </sheets>
  <definedNames>
    <definedName name="_xlnm.Print_Area" localSheetId="0">'Chiffre d''affaires'!$B$11:$K$17</definedName>
  </definedNames>
  <calcPr calcId="152511" refMode="R1C1"/>
</workbook>
</file>

<file path=xl/calcChain.xml><?xml version="1.0" encoding="utf-8"?>
<calcChain xmlns="http://schemas.openxmlformats.org/spreadsheetml/2006/main">
  <c r="C19" i="39" l="1"/>
  <c r="D19" i="39"/>
  <c r="E19" i="39"/>
  <c r="F19" i="39"/>
  <c r="E19" i="43" l="1"/>
  <c r="E20" i="43"/>
  <c r="E21" i="43"/>
  <c r="E22" i="43"/>
  <c r="E23" i="43"/>
  <c r="E24" i="43"/>
  <c r="E18" i="43"/>
  <c r="E17" i="43"/>
  <c r="D20" i="42" l="1"/>
  <c r="C20" i="42"/>
  <c r="E17" i="3" l="1"/>
  <c r="E14" i="1" l="1"/>
  <c r="E20" i="42" l="1"/>
  <c r="C19" i="38" l="1"/>
  <c r="F18" i="38"/>
  <c r="E19" i="38" s="1"/>
  <c r="G18" i="38" s="1"/>
  <c r="H43" i="27"/>
  <c r="E43" i="27"/>
  <c r="H22" i="27" l="1"/>
  <c r="H23" i="27"/>
  <c r="H21" i="27"/>
  <c r="E22" i="27"/>
  <c r="E23" i="27"/>
  <c r="E21" i="27"/>
  <c r="D20" i="26"/>
  <c r="C20" i="26"/>
  <c r="H29" i="30"/>
  <c r="H28" i="30"/>
  <c r="E29" i="30"/>
  <c r="F28" i="24"/>
  <c r="F29" i="24"/>
  <c r="F30" i="24"/>
  <c r="F31" i="24"/>
  <c r="F32" i="24"/>
  <c r="F27" i="24"/>
  <c r="F22" i="24" l="1"/>
  <c r="E22" i="24"/>
  <c r="F27" i="33"/>
  <c r="F26" i="33"/>
  <c r="F25" i="33"/>
  <c r="F24" i="33"/>
  <c r="F20" i="33"/>
  <c r="F19" i="33"/>
  <c r="F18" i="33"/>
  <c r="F17" i="33"/>
  <c r="F27" i="18"/>
  <c r="F26" i="18"/>
  <c r="F25" i="18"/>
  <c r="F24" i="18"/>
  <c r="F17" i="18"/>
  <c r="F18" i="18"/>
  <c r="F19" i="18"/>
  <c r="F16" i="18"/>
  <c r="E29" i="3"/>
  <c r="E28" i="3"/>
  <c r="E27" i="3"/>
  <c r="J18" i="3"/>
  <c r="J17" i="3"/>
  <c r="E18" i="3"/>
  <c r="E33" i="24"/>
  <c r="D33" i="24"/>
  <c r="E21" i="33"/>
  <c r="D21" i="33"/>
  <c r="E28" i="33"/>
  <c r="D28" i="33"/>
  <c r="D28" i="18"/>
  <c r="D20" i="18"/>
  <c r="E20" i="18"/>
  <c r="C23" i="3"/>
  <c r="C22" i="3"/>
  <c r="H19" i="3"/>
  <c r="I19" i="3"/>
  <c r="J19" i="3" s="1"/>
  <c r="D19" i="3"/>
  <c r="C19" i="3"/>
  <c r="F21" i="33" l="1"/>
  <c r="F28" i="33"/>
  <c r="F20" i="18"/>
  <c r="G32" i="24"/>
  <c r="G31" i="24"/>
  <c r="G27" i="24"/>
  <c r="G30" i="24"/>
  <c r="G29" i="24"/>
  <c r="G28" i="24"/>
  <c r="F33" i="24"/>
  <c r="E19" i="3"/>
  <c r="C36" i="27"/>
  <c r="C24" i="27"/>
  <c r="D79" i="26"/>
  <c r="D74" i="26"/>
  <c r="D64" i="26"/>
  <c r="D54" i="26"/>
  <c r="C42" i="26"/>
  <c r="I31" i="26"/>
  <c r="C31" i="26"/>
  <c r="C21" i="26" s="1"/>
  <c r="E30" i="30"/>
  <c r="E28" i="30"/>
  <c r="E27" i="30"/>
  <c r="E26" i="30"/>
  <c r="E25" i="30"/>
  <c r="E24" i="30"/>
  <c r="E23" i="30"/>
  <c r="E22" i="30"/>
  <c r="E21" i="30"/>
  <c r="E20" i="30"/>
  <c r="C24" i="3"/>
  <c r="D30" i="3"/>
  <c r="C30" i="3"/>
  <c r="E16" i="1"/>
  <c r="E15" i="1"/>
  <c r="D17" i="1"/>
  <c r="C17" i="1"/>
  <c r="E30" i="3" l="1"/>
  <c r="E17" i="1"/>
  <c r="H31" i="26" l="1"/>
  <c r="H20" i="30" l="1"/>
  <c r="H21" i="30"/>
  <c r="H22" i="30"/>
  <c r="H23" i="30"/>
  <c r="H24" i="30"/>
  <c r="H25" i="30"/>
  <c r="H26" i="30"/>
  <c r="H27" i="30"/>
  <c r="H30" i="30"/>
  <c r="E28" i="18"/>
  <c r="F28" i="18" s="1"/>
  <c r="D23" i="3"/>
  <c r="E23" i="3" s="1"/>
  <c r="D22" i="3"/>
  <c r="D24" i="3" l="1"/>
  <c r="E24" i="3" s="1"/>
  <c r="E22" i="3"/>
  <c r="F36" i="27"/>
  <c r="F24" i="27"/>
  <c r="G79" i="26"/>
  <c r="G74" i="26"/>
  <c r="H64" i="26"/>
  <c r="H54" i="26"/>
  <c r="D42" i="26"/>
  <c r="E42" i="26"/>
  <c r="D31" i="26"/>
  <c r="E31" i="26"/>
  <c r="D21" i="26" l="1"/>
  <c r="J29" i="26"/>
  <c r="J27" i="26"/>
  <c r="G17" i="1" l="1"/>
  <c r="F17" i="1"/>
  <c r="H17" i="1" l="1"/>
  <c r="H16" i="1"/>
  <c r="H15" i="1"/>
  <c r="H14" i="1"/>
</calcChain>
</file>

<file path=xl/sharedStrings.xml><?xml version="1.0" encoding="utf-8"?>
<sst xmlns="http://schemas.openxmlformats.org/spreadsheetml/2006/main" count="470" uniqueCount="244">
  <si>
    <t xml:space="preserve">TOTAL </t>
  </si>
  <si>
    <t>Total</t>
  </si>
  <si>
    <t>NodeB</t>
  </si>
  <si>
    <t>Grand Public</t>
  </si>
  <si>
    <t>Cadres Sup</t>
  </si>
  <si>
    <t>Cadres</t>
  </si>
  <si>
    <t>Maîtrise</t>
  </si>
  <si>
    <t>Exécution</t>
  </si>
  <si>
    <t>Arrivés</t>
  </si>
  <si>
    <t>Recrutement</t>
  </si>
  <si>
    <t>Démission</t>
  </si>
  <si>
    <t>Fin de contrat</t>
  </si>
  <si>
    <t>Retraite</t>
  </si>
  <si>
    <t>Abandon de poste</t>
  </si>
  <si>
    <t>Licenciement</t>
  </si>
  <si>
    <t>Maitrise</t>
  </si>
  <si>
    <t>Commercial</t>
  </si>
  <si>
    <t>Management</t>
  </si>
  <si>
    <t>Total Formations effectuées</t>
  </si>
  <si>
    <t>Total Personnes Formées</t>
  </si>
  <si>
    <t xml:space="preserve">Objectif </t>
  </si>
  <si>
    <t>Realisation</t>
  </si>
  <si>
    <t>Taux</t>
  </si>
  <si>
    <t>Interco &amp; Roaming</t>
  </si>
  <si>
    <t>Objectif</t>
  </si>
  <si>
    <t>TOTAL</t>
  </si>
  <si>
    <t xml:space="preserve">Reçues </t>
  </si>
  <si>
    <t xml:space="preserve">Traitées </t>
  </si>
  <si>
    <t>Frais personnel (MDA)</t>
  </si>
  <si>
    <t>Taux d'atteinte</t>
  </si>
  <si>
    <t>Irreguliéres</t>
  </si>
  <si>
    <t>Cadre Disciplinaire</t>
  </si>
  <si>
    <t>Cadre Médical</t>
  </si>
  <si>
    <t>Autorisées</t>
  </si>
  <si>
    <t>Absentéisme   (jours)</t>
  </si>
  <si>
    <t xml:space="preserve">Détachement </t>
  </si>
  <si>
    <t>Réintegration</t>
  </si>
  <si>
    <t>Décés</t>
  </si>
  <si>
    <t>Détachement</t>
  </si>
  <si>
    <t xml:space="preserve"> Cadres Sup</t>
  </si>
  <si>
    <t xml:space="preserve"> Cadres </t>
  </si>
  <si>
    <t xml:space="preserve"> Maitrise</t>
  </si>
  <si>
    <t xml:space="preserve"> Exécution</t>
  </si>
  <si>
    <t>Mouvement des effectifs</t>
  </si>
  <si>
    <t>Departs</t>
  </si>
  <si>
    <t>COMMERCIAL</t>
  </si>
  <si>
    <t>MANAGEMENT</t>
  </si>
  <si>
    <t>SUPPORT</t>
  </si>
  <si>
    <t>TECHNICUE</t>
  </si>
  <si>
    <t>Sortant</t>
  </si>
  <si>
    <t xml:space="preserve"> CDI</t>
  </si>
  <si>
    <t xml:space="preserve"> CDD</t>
  </si>
  <si>
    <t xml:space="preserve"> CTA</t>
  </si>
  <si>
    <t xml:space="preserve">Mouvement des effectifs par Domaine </t>
  </si>
  <si>
    <t xml:space="preserve">Recrutement </t>
  </si>
  <si>
    <t xml:space="preserve">Cadres &amp; cadres Supérieures </t>
  </si>
  <si>
    <t>Effectifs Formés par GSP</t>
  </si>
  <si>
    <t>Technique</t>
  </si>
  <si>
    <t>Divers (Langue Anglaise)</t>
  </si>
  <si>
    <t>2G</t>
  </si>
  <si>
    <t>3G</t>
  </si>
  <si>
    <t>4G</t>
  </si>
  <si>
    <t xml:space="preserve">Désignations </t>
  </si>
  <si>
    <t>Réalisé</t>
  </si>
  <si>
    <t xml:space="preserve">Taux </t>
  </si>
  <si>
    <t>Disponibilité des Services</t>
  </si>
  <si>
    <t>Disponibilité Cœur Réseau</t>
  </si>
  <si>
    <t>Disponibilité Acces Radio 2G</t>
  </si>
  <si>
    <t>Disponibilité Acces Radio 3G</t>
  </si>
  <si>
    <t>Disponibilité Acces Radio 4G</t>
  </si>
  <si>
    <t>Drop call 2G</t>
  </si>
  <si>
    <t>RAB Voice Drop 3G</t>
  </si>
  <si>
    <t>ERAB Drop 4G</t>
  </si>
  <si>
    <t>Disponibilité Globale réseau</t>
  </si>
  <si>
    <t>WILAYA</t>
  </si>
  <si>
    <t>Alger</t>
  </si>
  <si>
    <t>Blida</t>
  </si>
  <si>
    <t>Bouira</t>
  </si>
  <si>
    <t>Boumerdes</t>
  </si>
  <si>
    <t>Tipaza</t>
  </si>
  <si>
    <t>Tizi Ouzou</t>
  </si>
  <si>
    <t xml:space="preserve">Exp: alger </t>
  </si>
  <si>
    <t>E-PAYEMENT Pop (MDA)</t>
  </si>
  <si>
    <t>E-PAYEMENT Prp (MDA)</t>
  </si>
  <si>
    <t>Situation Reseaux</t>
  </si>
  <si>
    <t>Reseau 2G</t>
  </si>
  <si>
    <t>BTS 900/1800 Mhz</t>
  </si>
  <si>
    <t>eNodeB (Evolved NodeB) (FDD+TDD)</t>
  </si>
  <si>
    <t>eNodeB (Evolved NodeB) (FDD)</t>
  </si>
  <si>
    <t xml:space="preserve">2G-3G Trafice Volume per day </t>
  </si>
  <si>
    <t xml:space="preserve">4G Trafic volume per day  </t>
  </si>
  <si>
    <t xml:space="preserve">Total daily trafic volume </t>
  </si>
  <si>
    <t>B2B</t>
  </si>
  <si>
    <t xml:space="preserve"> MTTR</t>
  </si>
  <si>
    <t>Action</t>
  </si>
  <si>
    <t>Objectif 2025</t>
  </si>
  <si>
    <t xml:space="preserve">Densification de couverture par des nouveaux sites </t>
  </si>
  <si>
    <t>( Acquisition et Intégration de 2000 nouveaux sites )</t>
  </si>
  <si>
    <t>Densification du LTE_30Mhz (1800_15+2100_15)</t>
  </si>
  <si>
    <t>" La mise à niveau de 1000 sites avec la technologie 4G "</t>
  </si>
  <si>
    <t xml:space="preserve">Usage de la neutralité technologique sur la bande 2100Mhz en faveur de la LTE (0-15Mhz) </t>
  </si>
  <si>
    <t>" Implémentation et intégration de 15Mhz de la bande passante 2100Mhz avec la technologie 4G sur 600 Sites"</t>
  </si>
  <si>
    <t>Implémentation de la couche LTE TDD 2300</t>
  </si>
  <si>
    <t>Implémentation et intégration de 3000 Sites LTE TDD (Massive MIMO &amp; 8T8R) pour les Sites 4G (1800/2100) sur les 58 wilaya</t>
  </si>
  <si>
    <t xml:space="preserve">Budget </t>
  </si>
  <si>
    <t xml:space="preserve">Chiffre d'affaire GP </t>
  </si>
  <si>
    <t xml:space="preserve">Chiffre d'affair ME </t>
  </si>
  <si>
    <t>Chiffre d'affairs Interco -roming</t>
  </si>
  <si>
    <t xml:space="preserve">Total CA </t>
  </si>
  <si>
    <t>Consommation de l'exercice</t>
  </si>
  <si>
    <t>Service Extérieurs et autres consommations</t>
  </si>
  <si>
    <t xml:space="preserve">VALEUR AJOUTEE D'EXPLOITATION </t>
  </si>
  <si>
    <t xml:space="preserve">Charge  du Personnel </t>
  </si>
  <si>
    <t xml:space="preserve">Impots, Taxes et versement assimilé </t>
  </si>
  <si>
    <t xml:space="preserve">EBE </t>
  </si>
  <si>
    <t xml:space="preserve">Autres produits Operasionnels </t>
  </si>
  <si>
    <t xml:space="preserve">Autres charges Operationnelles </t>
  </si>
  <si>
    <t xml:space="preserve">Dotations aux amortissements </t>
  </si>
  <si>
    <t xml:space="preserve">Reprises sur pertes de valeur et provisions </t>
  </si>
  <si>
    <t xml:space="preserve">Résultat Opérationnel </t>
  </si>
  <si>
    <t>Reseau 3G</t>
  </si>
  <si>
    <t>Reseau 4G</t>
  </si>
  <si>
    <t>Ecart</t>
  </si>
  <si>
    <t>Encaissement (MDA)</t>
  </si>
  <si>
    <t>GP</t>
  </si>
  <si>
    <t xml:space="preserve">EX DR ALGER </t>
  </si>
  <si>
    <t>Salaire Moyen</t>
  </si>
  <si>
    <t>Baridimob</t>
  </si>
  <si>
    <t>webportail</t>
  </si>
  <si>
    <t>GAB-Alg Poste</t>
  </si>
  <si>
    <t>Réclamation Appels</t>
  </si>
  <si>
    <t>Réclamation  Couverture</t>
  </si>
  <si>
    <t>Réclamations Offres</t>
  </si>
  <si>
    <t>Réclamation Data</t>
  </si>
  <si>
    <t>Réclamation SMS</t>
  </si>
  <si>
    <t>AUTRES RECLAMATIONS RECUES</t>
  </si>
  <si>
    <t>Objectif  couverture</t>
  </si>
  <si>
    <t>Postpaid GP</t>
  </si>
  <si>
    <t>prepaid  GP</t>
  </si>
  <si>
    <t>Postpaid B2B</t>
  </si>
  <si>
    <t>prepaid B2B</t>
  </si>
  <si>
    <t>WINPAY (BNA)</t>
  </si>
  <si>
    <t>Effectif</t>
  </si>
  <si>
    <t>Support</t>
  </si>
  <si>
    <t xml:space="preserve">% Part de l'effectif total </t>
  </si>
  <si>
    <t>Part %</t>
  </si>
  <si>
    <t>Reçues</t>
  </si>
  <si>
    <t>Traitées</t>
  </si>
  <si>
    <t>Equipements</t>
  </si>
  <si>
    <t>Rechargement</t>
  </si>
  <si>
    <t>Débit MBPS  / WILAYA</t>
  </si>
  <si>
    <t>Couverture reseau / wilya</t>
  </si>
  <si>
    <t xml:space="preserve">Domaines </t>
  </si>
  <si>
    <t>Chiffre d'Affaires   ( MDA )</t>
  </si>
  <si>
    <t>Parc Abonnés GP</t>
  </si>
  <si>
    <t>Total Parc Abonnés</t>
  </si>
  <si>
    <t>Parc  Postpaid</t>
  </si>
  <si>
    <t>Parc Prepaid</t>
  </si>
  <si>
    <t>Prepaid GP</t>
  </si>
  <si>
    <t>Prepaid B2B</t>
  </si>
  <si>
    <t>Productif</t>
  </si>
  <si>
    <t xml:space="preserve">Trafic Data (TB) </t>
  </si>
  <si>
    <t xml:space="preserve">MTTR / DR </t>
  </si>
  <si>
    <t>sites acquis</t>
  </si>
  <si>
    <t xml:space="preserve">site en cours de contruction </t>
  </si>
  <si>
    <t>sites contruits</t>
  </si>
  <si>
    <t xml:space="preserve">Réalisations techniques </t>
  </si>
  <si>
    <t xml:space="preserve">Stagiaires </t>
  </si>
  <si>
    <t>Personnes à besoins spécifiques</t>
  </si>
  <si>
    <t>Suivi des infrastructures Reseau 2G /3G /4G :</t>
  </si>
  <si>
    <t>Evolution du Trafic Data :</t>
  </si>
  <si>
    <t>Amélioration Qualité :</t>
  </si>
  <si>
    <t xml:space="preserve">Couverture Réseau : </t>
  </si>
  <si>
    <t xml:space="preserve">Action Notable sur le Réseau : </t>
  </si>
  <si>
    <t>Disponibilité Réseau :</t>
  </si>
  <si>
    <t>MTTR :</t>
  </si>
  <si>
    <t>Chiffre d'ffaires :</t>
  </si>
  <si>
    <t>Parc Abonnés:</t>
  </si>
  <si>
    <t>Activations et Désactivations :</t>
  </si>
  <si>
    <t xml:space="preserve">Paiment électronique : </t>
  </si>
  <si>
    <t>Frais Personnel :</t>
  </si>
  <si>
    <t>Effectifs par GSP :</t>
  </si>
  <si>
    <t>Absentéisme :</t>
  </si>
  <si>
    <t>Mouvement des Effectifs :</t>
  </si>
  <si>
    <t>Effectifs formés par Groupe Socio-Professionnel :</t>
  </si>
  <si>
    <t>Formations Réalisées par Domaines :</t>
  </si>
  <si>
    <t>Annexe  01</t>
  </si>
  <si>
    <t>Compte de Résultat :</t>
  </si>
  <si>
    <t>Realisé</t>
  </si>
  <si>
    <t>Parc Abonnés B2B</t>
  </si>
  <si>
    <t>Parc Abonnés Par Technologie</t>
  </si>
  <si>
    <t>Activation</t>
  </si>
  <si>
    <t xml:space="preserve">Total </t>
  </si>
  <si>
    <t>Reclamations</t>
  </si>
  <si>
    <t>Type de Reclamation GP</t>
  </si>
  <si>
    <t>Evol</t>
  </si>
  <si>
    <t>Traitement des Reclamations GP et B2B :</t>
  </si>
  <si>
    <t xml:space="preserve">Taux de traitement </t>
  </si>
  <si>
    <t xml:space="preserve">écart </t>
  </si>
  <si>
    <t xml:space="preserve">EX : DR ALGER </t>
  </si>
  <si>
    <t>2G Congestion Rate</t>
  </si>
  <si>
    <t xml:space="preserve">Objectif  </t>
  </si>
  <si>
    <t xml:space="preserve">Réalisé </t>
  </si>
  <si>
    <t xml:space="preserve">GSP  </t>
  </si>
  <si>
    <t>Fréquence des Sessions de Formation                                                                           (nombre de formations par mois )</t>
  </si>
  <si>
    <t xml:space="preserve">Total des Encaissements </t>
  </si>
  <si>
    <t>Recouvrement (MDA)</t>
  </si>
  <si>
    <t>Créances contentieuses :</t>
  </si>
  <si>
    <t xml:space="preserve">Montant recouvré </t>
  </si>
  <si>
    <t xml:space="preserve">Taux de recouvrements </t>
  </si>
  <si>
    <t>Désactivation/ Résiliation</t>
  </si>
  <si>
    <t xml:space="preserve">Rechargement PRP (Million DA)/ DR </t>
  </si>
  <si>
    <t xml:space="preserve">DR Alger </t>
  </si>
  <si>
    <t>DR Oran</t>
  </si>
  <si>
    <t xml:space="preserve">DR Constantine </t>
  </si>
  <si>
    <t>DR Setif</t>
  </si>
  <si>
    <t xml:space="preserve">DR Ouargla </t>
  </si>
  <si>
    <t xml:space="preserve">DR Bechar </t>
  </si>
  <si>
    <t>DR Annaba</t>
  </si>
  <si>
    <t>DR Chlef</t>
  </si>
  <si>
    <t>M</t>
  </si>
  <si>
    <t>M+1</t>
  </si>
  <si>
    <t xml:space="preserve">TABLEAU DE BORD DE SUIVI  DES INDICATEURS 
COMMERCIAUX (DVOC )  </t>
  </si>
  <si>
    <t xml:space="preserve">TABLEAU DE BORD DE SUIVI  DES INDICATEURS 
COMMERCIAUX (DVOC) </t>
  </si>
  <si>
    <t>TABLEAU DE BORD DE SUIVI  DES INDICATEURS 
COMMERCIAUX  (DVOC)</t>
  </si>
  <si>
    <t>TABLEAU DE BORD DE SUIVI  DES INDICATEURS 
TECHNIQUES ( DVDRS )</t>
  </si>
  <si>
    <t>TABLEAU DE BORD DE SUIVI  DES INDICATEURS 
TECHNIQUES( DQRPC)</t>
  </si>
  <si>
    <t>TABLEAU DE BORD DE SUIVI DES INDICATEURS 
SUPPORT   (DAJC)</t>
  </si>
  <si>
    <t>TABLEAU DE BORD DE SUIVI  DES INDICATEURS 
SUPPORT ( DARS)</t>
  </si>
  <si>
    <t>TABLEAU DE BORD DE SUIVI  DES INDICATEURS 
SUPPORT ( DDRH )</t>
  </si>
  <si>
    <t>TABLEAU DE BORD DE SUIVI  DES INDICATEURS 
FINANCIERS ( DCG)</t>
  </si>
  <si>
    <t xml:space="preserve">Part des réclamations reçus </t>
  </si>
  <si>
    <t>Montant Mis en Recouvrement</t>
  </si>
  <si>
    <t xml:space="preserve">Montant Recouvré </t>
  </si>
  <si>
    <t xml:space="preserve">Créances Contentieuses </t>
  </si>
  <si>
    <t xml:space="preserve">TABLEAU DE BORD DE SUIVI DES INDICATEURS 
DR's   </t>
  </si>
  <si>
    <t xml:space="preserve">MTTR </t>
  </si>
  <si>
    <t>WILAYA 1</t>
  </si>
  <si>
    <t>WILAYA 2</t>
  </si>
  <si>
    <t>WILYA 3</t>
  </si>
  <si>
    <t>WILYA 4</t>
  </si>
  <si>
    <t>WILYA 5</t>
  </si>
  <si>
    <t>WILYA 6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</si>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</sst>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(&quot;$&quot;* #,##0.00_);_(&quot;$&quot;* \(#,##0.00\);_(&quot;$&quot;* &quot;-&quot;??_);_(@_)"/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_-* #,##0.00\ _F_-;\-* #,##0.00\ _F_-;_-* &quot;-&quot;??\ _F_-;_-@_-"/>
    <numFmt numFmtId="169" formatCode="_ * #,##0.00_)_D_H_ ;_ * \(#,##0.00\)_D_H_ ;_ * &quot;-&quot;??_)_D_H_ ;_ @_ "/>
    <numFmt numFmtId="170" formatCode="_-* #,##0\ _€_-;\-* #,##0\ _€_-;_-* &quot;-&quot;??\ _€_-;_-@_-"/>
    <numFmt numFmtId="171" formatCode="_-* #,##0.0\ _€_-;\-* #,##0.0\ _€_-;_-* &quot;-&quot;??\ _€_-;_-@_-"/>
    <numFmt numFmtId="172" formatCode="_-* #,##0_-;\-* #,##0_-;_-* &quot;-&quot;??_-;_-@_-"/>
    <numFmt numFmtId="173" formatCode="0.0%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ook Antiqua"/>
      <family val="2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sz val="10"/>
      <color theme="1"/>
      <name val="Times New Roman"/>
      <family val="2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3" tint="-0.499984740745262"/>
      <name val="Calibri"/>
      <family val="2"/>
      <scheme val="minor"/>
    </font>
    <font>
      <b/>
      <sz val="14"/>
      <color theme="0"/>
      <name val="Century Gothic"/>
      <family val="2"/>
    </font>
    <font>
      <b/>
      <sz val="11"/>
      <color theme="3" tint="-0.499984740745262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entury Gothic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8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20"/>
      <color rgb="FF4F622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u/>
      <sz val="18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2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B050"/>
      </top>
      <bottom/>
      <diagonal/>
    </border>
    <border>
      <left/>
      <right/>
      <top/>
      <bottom style="thin">
        <color rgb="FF00B05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dashed">
        <color rgb="FF00B050"/>
      </left>
      <right style="dashed">
        <color rgb="FF00B050"/>
      </right>
      <top/>
      <bottom style="thin">
        <color rgb="FF00B050"/>
      </bottom>
      <diagonal/>
    </border>
    <border>
      <left style="dashed">
        <color rgb="FF00B050"/>
      </left>
      <right/>
      <top style="dashed">
        <color rgb="FF00B050"/>
      </top>
      <bottom style="dashed">
        <color rgb="FF00B050"/>
      </bottom>
      <diagonal/>
    </border>
    <border>
      <left/>
      <right/>
      <top style="dashed">
        <color rgb="FF00B050"/>
      </top>
      <bottom style="dashed">
        <color rgb="FF00B050"/>
      </bottom>
      <diagonal/>
    </border>
    <border>
      <left/>
      <right style="dashed">
        <color rgb="FF00B050"/>
      </right>
      <top style="dashed">
        <color rgb="FF00B050"/>
      </top>
      <bottom style="dashed">
        <color rgb="FF00B050"/>
      </bottom>
      <diagonal/>
    </border>
    <border>
      <left style="thin">
        <color rgb="FF00B050"/>
      </left>
      <right/>
      <top/>
      <bottom style="dashed">
        <color rgb="FF00B050"/>
      </bottom>
      <diagonal/>
    </border>
    <border>
      <left/>
      <right style="thin">
        <color rgb="FF00B050"/>
      </right>
      <top/>
      <bottom style="dashed">
        <color rgb="FF00B050"/>
      </bottom>
      <diagonal/>
    </border>
    <border>
      <left style="thin">
        <color rgb="FF00B050"/>
      </left>
      <right/>
      <top style="dashed">
        <color rgb="FF00B050"/>
      </top>
      <bottom style="dashed">
        <color rgb="FF00B050"/>
      </bottom>
      <diagonal/>
    </border>
    <border>
      <left/>
      <right style="thin">
        <color rgb="FF00B050"/>
      </right>
      <top style="dashed">
        <color rgb="FF00B050"/>
      </top>
      <bottom style="dashed">
        <color rgb="FF00B050"/>
      </bottom>
      <diagonal/>
    </border>
    <border>
      <left/>
      <right style="dashed">
        <color rgb="FF00B050"/>
      </right>
      <top/>
      <bottom/>
      <diagonal/>
    </border>
    <border>
      <left/>
      <right style="dashed">
        <color rgb="FF00B050"/>
      </right>
      <top/>
      <bottom style="dashed">
        <color rgb="FF00B050"/>
      </bottom>
      <diagonal/>
    </border>
    <border>
      <left style="thin">
        <color rgb="FF00B050"/>
      </left>
      <right style="dashed">
        <color rgb="FF00B050"/>
      </right>
      <top/>
      <bottom/>
      <diagonal/>
    </border>
    <border>
      <left style="thin">
        <color rgb="FF00B050"/>
      </left>
      <right style="dashed">
        <color rgb="FF00B050"/>
      </right>
      <top/>
      <bottom style="dashed">
        <color rgb="FF00B050"/>
      </bottom>
      <diagonal/>
    </border>
    <border>
      <left style="thin">
        <color rgb="FF00B050"/>
      </left>
      <right style="dashed">
        <color rgb="FF00B050"/>
      </right>
      <top style="dashed">
        <color rgb="FF00B050"/>
      </top>
      <bottom style="dashed">
        <color rgb="FF00B050"/>
      </bottom>
      <diagonal/>
    </border>
    <border>
      <left/>
      <right style="medium">
        <color rgb="FF00B050"/>
      </right>
      <top/>
      <bottom/>
      <diagonal/>
    </border>
    <border>
      <left style="thin">
        <color rgb="FF00B050"/>
      </left>
      <right style="medium">
        <color rgb="FF00B050"/>
      </right>
      <top/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/>
      <top style="thin">
        <color rgb="FF00B050"/>
      </top>
      <bottom style="medium">
        <color rgb="FF00B050"/>
      </bottom>
      <diagonal/>
    </border>
    <border>
      <left/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/>
      <right/>
      <top/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/>
      <right/>
      <top style="hair">
        <color rgb="FF00B050"/>
      </top>
      <bottom style="hair">
        <color rgb="FF00B050"/>
      </bottom>
      <diagonal/>
    </border>
    <border>
      <left/>
      <right style="hair">
        <color rgb="FF00B050"/>
      </right>
      <top style="hair">
        <color rgb="FF00B050"/>
      </top>
      <bottom style="hair">
        <color rgb="FF00B050"/>
      </bottom>
      <diagonal/>
    </border>
    <border>
      <left/>
      <right/>
      <top style="thin">
        <color rgb="FF00B050"/>
      </top>
      <bottom style="hair">
        <color rgb="FF00B05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 style="thin">
        <color indexed="64"/>
      </right>
      <top style="thick">
        <color rgb="FF00B050"/>
      </top>
      <bottom/>
      <diagonal/>
    </border>
    <border>
      <left style="thin">
        <color indexed="64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 style="thin">
        <color indexed="64"/>
      </right>
      <top style="thin">
        <color rgb="FF00B050"/>
      </top>
      <bottom style="hair">
        <color rgb="FF00B050"/>
      </bottom>
      <diagonal/>
    </border>
    <border>
      <left/>
      <right style="thick">
        <color rgb="FF00B050"/>
      </right>
      <top style="thin">
        <color rgb="FF00B050"/>
      </top>
      <bottom style="hair">
        <color rgb="FF00B050"/>
      </bottom>
      <diagonal/>
    </border>
    <border>
      <left style="thick">
        <color rgb="FF00B050"/>
      </left>
      <right style="thin">
        <color indexed="64"/>
      </right>
      <top style="hair">
        <color rgb="FF00B050"/>
      </top>
      <bottom style="hair">
        <color rgb="FF00B050"/>
      </bottom>
      <diagonal/>
    </border>
    <border>
      <left/>
      <right style="thick">
        <color rgb="FF00B050"/>
      </right>
      <top style="hair">
        <color rgb="FF00B050"/>
      </top>
      <bottom style="hair">
        <color rgb="FF00B050"/>
      </bottom>
      <diagonal/>
    </border>
    <border>
      <left style="thick">
        <color rgb="FF00B050"/>
      </left>
      <right style="thin">
        <color indexed="64"/>
      </right>
      <top style="hair">
        <color rgb="FF00B050"/>
      </top>
      <bottom style="thin">
        <color rgb="FF00B050"/>
      </bottom>
      <diagonal/>
    </border>
    <border>
      <left/>
      <right style="thick">
        <color rgb="FF00B050"/>
      </right>
      <top/>
      <bottom style="thin">
        <color rgb="FF00B050"/>
      </bottom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ck">
        <color rgb="FF00B050"/>
      </left>
      <right style="thin">
        <color indexed="64"/>
      </right>
      <top/>
      <bottom style="thin">
        <color rgb="FF00B050"/>
      </bottom>
      <diagonal/>
    </border>
    <border>
      <left style="thin">
        <color rgb="FF00B050"/>
      </left>
      <right/>
      <top style="hair">
        <color rgb="FF00B050"/>
      </top>
      <bottom style="hair">
        <color rgb="FF00B050"/>
      </bottom>
      <diagonal/>
    </border>
    <border>
      <left/>
      <right style="hair">
        <color rgb="FF00B050"/>
      </right>
      <top/>
      <bottom/>
      <diagonal/>
    </border>
    <border>
      <left/>
      <right style="hair">
        <color rgb="FF00B050"/>
      </right>
      <top/>
      <bottom style="hair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hair">
        <color rgb="FF00B050"/>
      </bottom>
      <diagonal/>
    </border>
    <border>
      <left/>
      <right style="medium">
        <color rgb="FF00B050"/>
      </right>
      <top/>
      <bottom style="hair">
        <color rgb="FF00B050"/>
      </bottom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hair">
        <color rgb="FF00B050"/>
      </top>
      <bottom style="medium">
        <color rgb="FF00B050"/>
      </bottom>
      <diagonal/>
    </border>
    <border>
      <left style="medium">
        <color rgb="FF00B050"/>
      </left>
      <right/>
      <top style="hair">
        <color rgb="FF00B050"/>
      </top>
      <bottom style="medium">
        <color rgb="FF00B050"/>
      </bottom>
      <diagonal/>
    </border>
    <border>
      <left/>
      <right style="medium">
        <color rgb="FF00B050"/>
      </right>
      <top style="hair">
        <color rgb="FF00B050"/>
      </top>
      <bottom style="medium">
        <color rgb="FF00B050"/>
      </bottom>
      <diagonal/>
    </border>
    <border>
      <left style="medium">
        <color rgb="FF00B050"/>
      </left>
      <right/>
      <top style="hair">
        <color rgb="FF00B050"/>
      </top>
      <bottom style="hair">
        <color rgb="FF00B050"/>
      </bottom>
      <diagonal/>
    </border>
    <border>
      <left/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hair">
        <color rgb="FF00B050"/>
      </right>
      <top style="medium">
        <color rgb="FF00B050"/>
      </top>
      <bottom style="medium">
        <color rgb="FF00B050"/>
      </bottom>
      <diagonal/>
    </border>
    <border>
      <left/>
      <right style="hair">
        <color rgb="FF00B050"/>
      </right>
      <top style="medium">
        <color rgb="FF00B050"/>
      </top>
      <bottom/>
      <diagonal/>
    </border>
    <border>
      <left/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/>
      <right style="hair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hair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hair">
        <color rgb="FF00B050"/>
      </right>
      <top style="medium">
        <color rgb="FF00B050"/>
      </top>
      <bottom/>
      <diagonal/>
    </border>
    <border>
      <left style="medium">
        <color rgb="FF00B050"/>
      </left>
      <right style="hair">
        <color rgb="FF00B050"/>
      </right>
      <top/>
      <bottom style="hair">
        <color rgb="FF00B05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medium">
        <color rgb="FF00B050"/>
      </left>
      <right style="hair">
        <color rgb="FF00B050"/>
      </right>
      <top/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medium">
        <color rgb="FF00B050"/>
      </top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 style="medium">
        <color rgb="FF00B050"/>
      </top>
      <bottom/>
      <diagonal/>
    </border>
    <border>
      <left style="hair">
        <color rgb="FF00B050"/>
      </left>
      <right style="hair">
        <color rgb="FF00B050"/>
      </right>
      <top/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00B050"/>
      </left>
      <right style="hair">
        <color rgb="FF00B050"/>
      </right>
      <top/>
      <bottom/>
      <diagonal/>
    </border>
    <border>
      <left style="hair">
        <color rgb="FF00B050"/>
      </left>
      <right/>
      <top/>
      <bottom/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/>
      <bottom style="medium">
        <color rgb="FF00B050"/>
      </bottom>
      <diagonal/>
    </border>
    <border>
      <left/>
      <right style="thin">
        <color rgb="FF00B050"/>
      </right>
      <top/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/>
      <bottom/>
      <diagonal/>
    </border>
    <border>
      <left style="thin">
        <color rgb="FF00B050"/>
      </left>
      <right style="hair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B050"/>
      </left>
      <right style="hair">
        <color rgb="FF00B050"/>
      </right>
      <top/>
      <bottom/>
      <diagonal/>
    </border>
    <border>
      <left style="thin">
        <color rgb="FF00B050"/>
      </left>
      <right style="hair">
        <color rgb="FF00B050"/>
      </right>
      <top/>
      <bottom style="medium">
        <color rgb="FF00B050"/>
      </bottom>
      <diagonal/>
    </border>
    <border>
      <left/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/>
      <top style="medium">
        <color rgb="FF00B050"/>
      </top>
      <bottom style="hair">
        <color rgb="FF00B050"/>
      </bottom>
      <diagonal/>
    </border>
    <border>
      <left/>
      <right style="medium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hair">
        <color rgb="FF00B050"/>
      </left>
      <right/>
      <top style="medium">
        <color rgb="FF00B050"/>
      </top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 style="medium">
        <color rgb="FF00B050"/>
      </top>
      <bottom style="dotted">
        <color rgb="FF00B050"/>
      </bottom>
      <diagonal/>
    </border>
    <border>
      <left/>
      <right style="hair">
        <color rgb="FF00B050"/>
      </right>
      <top style="medium">
        <color rgb="FF00B050"/>
      </top>
      <bottom style="dotted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dotted">
        <color rgb="FF00B050"/>
      </bottom>
      <diagonal/>
    </border>
    <border>
      <left/>
      <right style="hair">
        <color rgb="FF00B050"/>
      </right>
      <top style="hair">
        <color rgb="FF00B050"/>
      </top>
      <bottom style="dotted">
        <color rgb="FF00B050"/>
      </bottom>
      <diagonal/>
    </border>
    <border>
      <left style="thin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/>
      <top style="dotted">
        <color rgb="FF00B050"/>
      </top>
      <bottom/>
      <diagonal/>
    </border>
    <border>
      <left/>
      <right style="dotted">
        <color rgb="FF00B050"/>
      </right>
      <top style="medium">
        <color rgb="FF00B050"/>
      </top>
      <bottom style="thin">
        <color rgb="FF00B050"/>
      </bottom>
      <diagonal/>
    </border>
    <border>
      <left style="dotted">
        <color rgb="FF00B050"/>
      </left>
      <right style="dotted">
        <color rgb="FF00B050"/>
      </right>
      <top style="medium">
        <color rgb="FF00B050"/>
      </top>
      <bottom style="medium">
        <color rgb="FF00B050"/>
      </bottom>
      <diagonal/>
    </border>
    <border>
      <left style="dotted">
        <color rgb="FF00B050"/>
      </left>
      <right style="dotted">
        <color rgb="FF00B050"/>
      </right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dotted">
        <color rgb="FF00B050"/>
      </bottom>
      <diagonal/>
    </border>
    <border>
      <left/>
      <right style="dotted">
        <color rgb="FF00B050"/>
      </right>
      <top style="dotted">
        <color rgb="FF00B050"/>
      </top>
      <bottom style="dotted">
        <color rgb="FF00B050"/>
      </bottom>
      <diagonal/>
    </border>
    <border>
      <left/>
      <right style="medium">
        <color rgb="FF00B050"/>
      </right>
      <top style="dotted">
        <color rgb="FF00B050"/>
      </top>
      <bottom style="dotted">
        <color rgb="FF00B050"/>
      </bottom>
      <diagonal/>
    </border>
    <border>
      <left/>
      <right style="dotted">
        <color rgb="FF00B050"/>
      </right>
      <top style="thin">
        <color rgb="FF00B050"/>
      </top>
      <bottom style="dotted">
        <color rgb="FF00B050"/>
      </bottom>
      <diagonal/>
    </border>
    <border>
      <left/>
      <right style="dotted">
        <color rgb="FF00B050"/>
      </right>
      <top/>
      <bottom/>
      <diagonal/>
    </border>
    <border>
      <left/>
      <right style="dotted">
        <color rgb="FF00B050"/>
      </right>
      <top style="dotted">
        <color rgb="FF00B050"/>
      </top>
      <bottom style="medium">
        <color rgb="FF00B050"/>
      </bottom>
      <diagonal/>
    </border>
    <border>
      <left style="medium">
        <color rgb="FF00B050"/>
      </left>
      <right style="dotted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dotted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 style="dotted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dotted">
        <color rgb="FF00B050"/>
      </right>
      <top/>
      <bottom/>
      <diagonal/>
    </border>
    <border>
      <left style="dotted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dotted">
        <color rgb="FF00B050"/>
      </right>
      <top style="medium">
        <color rgb="FF00B050"/>
      </top>
      <bottom/>
      <diagonal/>
    </border>
    <border>
      <left style="dotted">
        <color rgb="FF00B050"/>
      </left>
      <right/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thin">
        <color rgb="FF00B05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hair">
        <color rgb="FF00B050"/>
      </bottom>
      <diagonal/>
    </border>
    <border>
      <left style="medium">
        <color rgb="FF00B050"/>
      </left>
      <right/>
      <top style="medium">
        <color rgb="FF00B050"/>
      </top>
      <bottom style="hair">
        <color rgb="FF00B050"/>
      </bottom>
      <diagonal/>
    </border>
    <border>
      <left/>
      <right/>
      <top style="medium">
        <color rgb="FF00B050"/>
      </top>
      <bottom style="hair">
        <color rgb="FF00B050"/>
      </bottom>
      <diagonal/>
    </border>
    <border>
      <left style="medium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00B050"/>
      </left>
      <right style="thin">
        <color rgb="FF00B050"/>
      </right>
      <top style="hair">
        <color rgb="FF00B050"/>
      </top>
      <bottom style="hair">
        <color rgb="FF00B050"/>
      </bottom>
      <diagonal/>
    </border>
    <border>
      <left style="thin">
        <color rgb="FF00B050"/>
      </left>
      <right style="hair">
        <color rgb="FF00B050"/>
      </right>
      <top style="medium">
        <color rgb="FF00B050"/>
      </top>
      <bottom/>
      <diagonal/>
    </border>
    <border>
      <left style="thin">
        <color rgb="FF00B050"/>
      </left>
      <right style="hair">
        <color rgb="FF00B050"/>
      </right>
      <top style="thin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/>
      <right style="medium">
        <color rgb="FF00B050"/>
      </right>
      <top style="hair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 style="hair">
        <color rgb="FF00B050"/>
      </bottom>
      <diagonal/>
    </border>
    <border>
      <left/>
      <right style="hair">
        <color rgb="FF00B050"/>
      </right>
      <top style="thin">
        <color rgb="FF00B050"/>
      </top>
      <bottom/>
      <diagonal/>
    </border>
    <border>
      <left style="dotted">
        <color rgb="FF00B050"/>
      </left>
      <right style="hair">
        <color rgb="FF00B050"/>
      </right>
      <top style="dotted">
        <color rgb="FF00B050"/>
      </top>
      <bottom style="dotted">
        <color rgb="FF00B050"/>
      </bottom>
      <diagonal/>
    </border>
    <border>
      <left style="dotted">
        <color rgb="FF00B050"/>
      </left>
      <right style="hair">
        <color rgb="FF00B050"/>
      </right>
      <top/>
      <bottom/>
      <diagonal/>
    </border>
    <border>
      <left style="dotted">
        <color rgb="FF00B050"/>
      </left>
      <right style="hair">
        <color rgb="FF00B050"/>
      </right>
      <top style="dotted">
        <color rgb="FF00B050"/>
      </top>
      <bottom/>
      <diagonal/>
    </border>
    <border>
      <left/>
      <right style="thin">
        <color rgb="FF00B050"/>
      </right>
      <top style="medium">
        <color rgb="FF00B050"/>
      </top>
      <bottom/>
      <diagonal/>
    </border>
    <border>
      <left style="medium">
        <color rgb="FF00B050"/>
      </left>
      <right style="hair">
        <color rgb="FF00B050"/>
      </right>
      <top style="hair">
        <color rgb="FF00B050"/>
      </top>
      <bottom/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00B050"/>
      </left>
      <right/>
      <top style="hair">
        <color rgb="FF00B050"/>
      </top>
      <bottom/>
      <diagonal/>
    </border>
    <border>
      <left style="hair">
        <color rgb="FF00B050"/>
      </left>
      <right style="medium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/>
      <diagonal/>
    </border>
    <border>
      <left/>
      <right style="hair">
        <color rgb="FF00B050"/>
      </right>
      <top style="hair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hair">
        <color rgb="FF00B050"/>
      </bottom>
      <diagonal/>
    </border>
    <border>
      <left style="medium">
        <color rgb="FF00B050"/>
      </left>
      <right style="thin">
        <color rgb="FF00B050"/>
      </right>
      <top/>
      <bottom style="medium">
        <color rgb="FF00B050"/>
      </bottom>
      <diagonal/>
    </border>
    <border>
      <left style="thin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thin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00B050"/>
      </left>
      <right style="thin">
        <color rgb="FF00B050"/>
      </right>
      <top/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dashed">
        <color rgb="FF00B050"/>
      </bottom>
      <diagonal/>
    </border>
    <border>
      <left/>
      <right style="hair">
        <color rgb="FF00B050"/>
      </right>
      <top style="medium">
        <color rgb="FF00B050"/>
      </top>
      <bottom style="dashed">
        <color rgb="FF00B050"/>
      </bottom>
      <diagonal/>
    </border>
    <border>
      <left/>
      <right style="medium">
        <color rgb="FF00B050"/>
      </right>
      <top style="medium">
        <color rgb="FF00B050"/>
      </top>
      <bottom style="dashed">
        <color rgb="FF00B050"/>
      </bottom>
      <diagonal/>
    </border>
    <border>
      <left style="medium">
        <color rgb="FF00B050"/>
      </left>
      <right style="thin">
        <color rgb="FF00B050"/>
      </right>
      <top style="dashed">
        <color rgb="FF00B050"/>
      </top>
      <bottom style="dashed">
        <color rgb="FF00B050"/>
      </bottom>
      <diagonal/>
    </border>
    <border>
      <left style="thin">
        <color rgb="FF00B050"/>
      </left>
      <right style="hair">
        <color rgb="FF00B050"/>
      </right>
      <top style="dashed">
        <color rgb="FF00B050"/>
      </top>
      <bottom style="dashed">
        <color rgb="FF00B050"/>
      </bottom>
      <diagonal/>
    </border>
    <border>
      <left/>
      <right style="hair">
        <color rgb="FF00B050"/>
      </right>
      <top style="dashed">
        <color rgb="FF00B050"/>
      </top>
      <bottom style="dashed">
        <color rgb="FF00B050"/>
      </bottom>
      <diagonal/>
    </border>
    <border>
      <left/>
      <right style="medium">
        <color rgb="FF00B050"/>
      </right>
      <top style="dashed">
        <color rgb="FF00B050"/>
      </top>
      <bottom style="dashed">
        <color rgb="FF00B050"/>
      </bottom>
      <diagonal/>
    </border>
    <border>
      <left style="thin">
        <color rgb="FF00B050"/>
      </left>
      <right/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/>
      <diagonal/>
    </border>
    <border>
      <left style="thin">
        <color rgb="FF00B050"/>
      </left>
      <right/>
      <top style="medium">
        <color rgb="FF00B050"/>
      </top>
      <bottom/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thin">
        <color indexed="64"/>
      </bottom>
      <diagonal/>
    </border>
    <border>
      <left style="medium">
        <color rgb="FF00B050"/>
      </left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/>
      <top style="thin">
        <color indexed="64"/>
      </top>
      <bottom style="medium">
        <color rgb="FF00B050"/>
      </bottom>
      <diagonal/>
    </border>
    <border>
      <left style="hair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thin">
        <color indexed="64"/>
      </left>
      <right/>
      <top style="medium">
        <color rgb="FF00B050"/>
      </top>
      <bottom/>
      <diagonal/>
    </border>
    <border>
      <left/>
      <right/>
      <top style="hair">
        <color rgb="FF00B050"/>
      </top>
      <bottom/>
      <diagonal/>
    </border>
    <border>
      <left style="medium">
        <color rgb="FF00B050"/>
      </left>
      <right style="medium">
        <color rgb="FF00B050"/>
      </right>
      <top style="hair">
        <color rgb="FF00B050"/>
      </top>
      <bottom/>
      <diagonal/>
    </border>
    <border>
      <left style="hair">
        <color rgb="FF00B050"/>
      </left>
      <right style="medium">
        <color rgb="FF00B050"/>
      </right>
      <top/>
      <bottom/>
      <diagonal/>
    </border>
    <border>
      <left style="hair">
        <color rgb="FF00B050"/>
      </left>
      <right style="medium">
        <color rgb="FF00B050"/>
      </right>
      <top style="medium">
        <color rgb="FF00B050"/>
      </top>
      <bottom/>
      <diagonal/>
    </border>
    <border>
      <left/>
      <right style="thin">
        <color rgb="FF00B050"/>
      </right>
      <top style="hair">
        <color rgb="FF00B050"/>
      </top>
      <bottom/>
      <diagonal/>
    </border>
    <border>
      <left style="medium">
        <color rgb="FF00B050"/>
      </left>
      <right/>
      <top style="dashed">
        <color rgb="FF00B050"/>
      </top>
      <bottom style="dashed">
        <color rgb="FF00B050"/>
      </bottom>
      <diagonal/>
    </border>
    <border>
      <left style="medium">
        <color rgb="FF00B050"/>
      </left>
      <right/>
      <top/>
      <bottom style="dashed">
        <color rgb="FF00B050"/>
      </bottom>
      <diagonal/>
    </border>
    <border>
      <left/>
      <right/>
      <top/>
      <bottom style="dashed">
        <color rgb="FF00B050"/>
      </bottom>
      <diagonal/>
    </border>
    <border>
      <left/>
      <right style="medium">
        <color rgb="FF00B050"/>
      </right>
      <top/>
      <bottom style="dashed">
        <color rgb="FF00B050"/>
      </bottom>
      <diagonal/>
    </border>
    <border>
      <left style="medium">
        <color rgb="FF00B050"/>
      </left>
      <right/>
      <top style="dashed">
        <color rgb="FF00B050"/>
      </top>
      <bottom/>
      <diagonal/>
    </border>
    <border>
      <left/>
      <right/>
      <top style="dashed">
        <color rgb="FF00B050"/>
      </top>
      <bottom/>
      <diagonal/>
    </border>
    <border>
      <left/>
      <right style="medium">
        <color rgb="FF00B050"/>
      </right>
      <top style="dashed">
        <color rgb="FF00B050"/>
      </top>
      <bottom/>
      <diagonal/>
    </border>
    <border>
      <left style="medium">
        <color rgb="FF00B050"/>
      </left>
      <right style="medium">
        <color rgb="FF00B050"/>
      </right>
      <top style="dashed">
        <color rgb="FF00B050"/>
      </top>
      <bottom style="dashed">
        <color rgb="FF00B050"/>
      </bottom>
      <diagonal/>
    </border>
    <border>
      <left style="medium">
        <color rgb="FF00B050"/>
      </left>
      <right style="medium">
        <color rgb="FF00B050"/>
      </right>
      <top style="dashed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 style="dashed">
        <color rgb="FF00B050"/>
      </bottom>
      <diagonal/>
    </border>
    <border>
      <left style="dashed">
        <color rgb="FF00B050"/>
      </left>
      <right style="dashed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dashed">
        <color rgb="FF00B050"/>
      </right>
      <top style="medium">
        <color rgb="FF00B050"/>
      </top>
      <bottom style="dashed">
        <color rgb="FF00B050"/>
      </bottom>
      <diagonal/>
    </border>
    <border>
      <left style="thin">
        <color rgb="FF00B050"/>
      </left>
      <right style="dashed">
        <color rgb="FF00B050"/>
      </right>
      <top style="medium">
        <color rgb="FF00B050"/>
      </top>
      <bottom style="dashed">
        <color rgb="FF00B050"/>
      </bottom>
      <diagonal/>
    </border>
    <border>
      <left style="medium">
        <color rgb="FF00B050"/>
      </left>
      <right style="dashed">
        <color rgb="FF00B050"/>
      </right>
      <top/>
      <bottom style="medium">
        <color rgb="FF00B050"/>
      </bottom>
      <diagonal/>
    </border>
    <border>
      <left style="dashed">
        <color rgb="FF00B050"/>
      </left>
      <right style="medium">
        <color rgb="FF00B050"/>
      </right>
      <top/>
      <bottom/>
      <diagonal/>
    </border>
    <border>
      <left/>
      <right/>
      <top style="hair">
        <color rgb="FF00B050"/>
      </top>
      <bottom style="medium">
        <color rgb="FF00B050"/>
      </bottom>
      <diagonal/>
    </border>
    <border>
      <left style="medium">
        <color rgb="FF00B050"/>
      </left>
      <right/>
      <top style="thin">
        <color rgb="FF00D05E"/>
      </top>
      <bottom/>
      <diagonal/>
    </border>
    <border>
      <left/>
      <right style="thin">
        <color rgb="FF00B050"/>
      </right>
      <top style="thin">
        <color rgb="FF00D05E"/>
      </top>
      <bottom/>
      <diagonal/>
    </border>
    <border>
      <left style="hair">
        <color rgb="FF00B050"/>
      </left>
      <right style="hair">
        <color rgb="FF00B050"/>
      </right>
      <top style="thin">
        <color rgb="FF00D05E"/>
      </top>
      <bottom style="hair">
        <color rgb="FF00D05E"/>
      </bottom>
      <diagonal/>
    </border>
    <border>
      <left style="hair">
        <color rgb="FF00B050"/>
      </left>
      <right style="hair">
        <color rgb="FF00B050"/>
      </right>
      <top style="hair">
        <color rgb="FF00D05E"/>
      </top>
      <bottom style="thin">
        <color rgb="FF00D05E"/>
      </bottom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D05E"/>
      </left>
      <right style="hair">
        <color rgb="FF00D05E"/>
      </right>
      <top/>
      <bottom style="medium">
        <color rgb="FF00D05E"/>
      </bottom>
      <diagonal/>
    </border>
    <border>
      <left style="hair">
        <color rgb="FF00D05E"/>
      </left>
      <right style="hair">
        <color rgb="FF00D05E"/>
      </right>
      <top/>
      <bottom style="medium">
        <color rgb="FF00D05E"/>
      </bottom>
      <diagonal/>
    </border>
    <border>
      <left/>
      <right style="hair">
        <color rgb="FF00D05E"/>
      </right>
      <top style="medium">
        <color rgb="FF00D05E"/>
      </top>
      <bottom/>
      <diagonal/>
    </border>
    <border>
      <left/>
      <right style="hair">
        <color rgb="FF00D05E"/>
      </right>
      <top/>
      <bottom style="medium">
        <color rgb="FF00D05E"/>
      </bottom>
      <diagonal/>
    </border>
    <border>
      <left/>
      <right style="hair">
        <color rgb="FF00D05E"/>
      </right>
      <top/>
      <bottom/>
      <diagonal/>
    </border>
    <border>
      <left style="hair">
        <color rgb="FF00D05E"/>
      </left>
      <right style="hair">
        <color rgb="FF00D05E"/>
      </right>
      <top style="medium">
        <color rgb="FF00D05E"/>
      </top>
      <bottom style="hair">
        <color rgb="FF00D05E"/>
      </bottom>
      <diagonal/>
    </border>
    <border>
      <left/>
      <right style="hair">
        <color rgb="FF00D05E"/>
      </right>
      <top style="medium">
        <color rgb="FF00D05E"/>
      </top>
      <bottom style="hair">
        <color rgb="FF00D05E"/>
      </bottom>
      <diagonal/>
    </border>
    <border>
      <left style="medium">
        <color rgb="FF00D05E"/>
      </left>
      <right style="thin">
        <color rgb="FF00D05E"/>
      </right>
      <top style="medium">
        <color rgb="FF00D05E"/>
      </top>
      <bottom style="hair">
        <color rgb="FF00D05E"/>
      </bottom>
      <diagonal/>
    </border>
    <border>
      <left style="hair">
        <color rgb="FF00D05E"/>
      </left>
      <right style="hair">
        <color rgb="FF00D05E"/>
      </right>
      <top style="hair">
        <color rgb="FF00D05E"/>
      </top>
      <bottom style="hair">
        <color rgb="FF00D05E"/>
      </bottom>
      <diagonal/>
    </border>
    <border>
      <left/>
      <right/>
      <top style="hair">
        <color rgb="FF00D05E"/>
      </top>
      <bottom style="hair">
        <color rgb="FF00D05E"/>
      </bottom>
      <diagonal/>
    </border>
    <border>
      <left/>
      <right style="hair">
        <color rgb="FF00D05E"/>
      </right>
      <top style="hair">
        <color rgb="FF00D05E"/>
      </top>
      <bottom style="hair">
        <color rgb="FF00D05E"/>
      </bottom>
      <diagonal/>
    </border>
    <border>
      <left/>
      <right style="hair">
        <color rgb="FF00D05E"/>
      </right>
      <top/>
      <bottom style="hair">
        <color rgb="FF00D05E"/>
      </bottom>
      <diagonal/>
    </border>
    <border>
      <left style="medium">
        <color rgb="FF00D05E"/>
      </left>
      <right style="hair">
        <color rgb="FF00D05E"/>
      </right>
      <top/>
      <bottom/>
      <diagonal/>
    </border>
    <border>
      <left style="hair">
        <color rgb="FF00D05E"/>
      </left>
      <right style="hair">
        <color rgb="FF00D05E"/>
      </right>
      <top/>
      <bottom style="hair">
        <color rgb="FF00D05E"/>
      </bottom>
      <diagonal/>
    </border>
    <border>
      <left style="hair">
        <color rgb="FF00D05E"/>
      </left>
      <right style="hair">
        <color rgb="FF00D05E"/>
      </right>
      <top/>
      <bottom/>
      <diagonal/>
    </border>
    <border>
      <left style="medium">
        <color rgb="FF00D05E"/>
      </left>
      <right style="hair">
        <color rgb="FF00D05E"/>
      </right>
      <top style="hair">
        <color rgb="FF00D05E"/>
      </top>
      <bottom style="hair">
        <color rgb="FF00D05E"/>
      </bottom>
      <diagonal/>
    </border>
    <border>
      <left style="medium">
        <color rgb="FF00D05E"/>
      </left>
      <right style="hair">
        <color rgb="FF00D05E"/>
      </right>
      <top/>
      <bottom style="hair">
        <color rgb="FF00D05E"/>
      </bottom>
      <diagonal/>
    </border>
    <border>
      <left style="medium">
        <color rgb="FF00D05E"/>
      </left>
      <right style="hair">
        <color rgb="FF00B050"/>
      </right>
      <top style="medium">
        <color rgb="FF00D05E"/>
      </top>
      <bottom/>
      <diagonal/>
    </border>
    <border>
      <left style="thin">
        <color rgb="FF00B050"/>
      </left>
      <right style="hair">
        <color rgb="FF00B050"/>
      </right>
      <top style="medium">
        <color rgb="FF00D05E"/>
      </top>
      <bottom/>
      <diagonal/>
    </border>
    <border>
      <left style="medium">
        <color rgb="FF00D05E"/>
      </left>
      <right style="thin">
        <color rgb="FF00D05E"/>
      </right>
      <top style="hair">
        <color rgb="FF00D05E"/>
      </top>
      <bottom style="hair">
        <color rgb="FF00D05E"/>
      </bottom>
      <diagonal/>
    </border>
  </borders>
  <cellStyleXfs count="10491">
    <xf numFmtId="0" fontId="0" fillId="0" borderId="0"/>
    <xf numFmtId="9" fontId="17" fillId="0" borderId="0" applyFon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8" fillId="5" borderId="4" applyNumberFormat="0" applyAlignment="0" applyProtection="0"/>
    <xf numFmtId="0" fontId="6" fillId="3" borderId="0" applyNumberFormat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0" fillId="0" borderId="0" applyFont="0" applyFill="0" applyBorder="0" applyAlignment="0" applyProtection="0"/>
    <xf numFmtId="168" fontId="1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5" fillId="2" borderId="0" applyNumberFormat="0" applyBorder="0" applyAlignment="0" applyProtection="0"/>
    <xf numFmtId="0" fontId="9" fillId="6" borderId="5" applyNumberFormat="0" applyAlignment="0" applyProtection="0"/>
    <xf numFmtId="0" fontId="18" fillId="0" borderId="0"/>
    <xf numFmtId="0" fontId="1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2" fillId="7" borderId="7" applyNumberFormat="0" applyAlignment="0" applyProtection="0"/>
    <xf numFmtId="44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7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6" fontId="18" fillId="0" borderId="0" applyFont="0" applyFill="0" applyBorder="0" applyAlignment="0" applyProtection="0">
      <alignment vertical="center"/>
    </xf>
    <xf numFmtId="164" fontId="18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</cellStyleXfs>
  <cellXfs count="734">
    <xf numFmtId="0" fontId="0" fillId="0" borderId="0" xfId="0"/>
    <xf numFmtId="0" fontId="0" fillId="0" borderId="0" xfId="0" applyAlignment="1">
      <alignment horizontal="center" vertical="center"/>
    </xf>
    <xf numFmtId="170" fontId="0" fillId="0" borderId="0" xfId="0" applyNumberFormat="1"/>
    <xf numFmtId="3" fontId="23" fillId="33" borderId="0" xfId="2" applyNumberFormat="1" applyFont="1" applyFill="1" applyBorder="1" applyAlignment="1">
      <alignment horizontal="center" vertical="center"/>
    </xf>
    <xf numFmtId="3" fontId="24" fillId="33" borderId="0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0" borderId="0" xfId="2" applyFont="1" applyFill="1" applyBorder="1" applyAlignment="1">
      <alignment horizontal="center"/>
    </xf>
    <xf numFmtId="0" fontId="26" fillId="0" borderId="0" xfId="2" applyFont="1" applyFill="1" applyBorder="1" applyAlignment="1">
      <alignment horizontal="center"/>
    </xf>
    <xf numFmtId="0" fontId="24" fillId="0" borderId="0" xfId="2" applyFont="1" applyFill="1" applyBorder="1" applyAlignment="1">
      <alignment horizontal="center"/>
    </xf>
    <xf numFmtId="0" fontId="0" fillId="0" borderId="0" xfId="0" applyBorder="1"/>
    <xf numFmtId="0" fontId="29" fillId="0" borderId="0" xfId="0" applyFont="1"/>
    <xf numFmtId="0" fontId="29" fillId="0" borderId="0" xfId="0" applyFont="1" applyAlignment="1">
      <alignment horizontal="center"/>
    </xf>
    <xf numFmtId="3" fontId="23" fillId="33" borderId="0" xfId="2" applyNumberFormat="1" applyFont="1" applyFill="1" applyBorder="1" applyAlignment="1">
      <alignment horizontal="center" vertical="center"/>
    </xf>
    <xf numFmtId="0" fontId="0" fillId="33" borderId="0" xfId="0" applyFill="1" applyBorder="1"/>
    <xf numFmtId="0" fontId="12" fillId="36" borderId="0" xfId="0" applyFont="1" applyFill="1" applyBorder="1" applyAlignment="1">
      <alignment horizontal="center" vertical="center"/>
    </xf>
    <xf numFmtId="0" fontId="33" fillId="33" borderId="0" xfId="0" applyFont="1" applyFill="1" applyBorder="1" applyAlignment="1">
      <alignment horizontal="center" vertical="center" wrapText="1" readingOrder="1"/>
    </xf>
    <xf numFmtId="0" fontId="25" fillId="33" borderId="0" xfId="0" applyFont="1" applyFill="1" applyBorder="1" applyAlignment="1">
      <alignment horizontal="center" vertical="center"/>
    </xf>
    <xf numFmtId="0" fontId="31" fillId="33" borderId="0" xfId="0" applyFont="1" applyFill="1" applyBorder="1" applyAlignment="1">
      <alignment horizontal="center" vertical="center"/>
    </xf>
    <xf numFmtId="0" fontId="31" fillId="36" borderId="0" xfId="0" applyFont="1" applyFill="1" applyBorder="1" applyAlignment="1">
      <alignment horizontal="center" vertical="center"/>
    </xf>
    <xf numFmtId="0" fontId="15" fillId="33" borderId="0" xfId="0" applyFont="1" applyFill="1" applyBorder="1" applyAlignment="1">
      <alignment vertical="center" wrapText="1"/>
    </xf>
    <xf numFmtId="0" fontId="0" fillId="33" borderId="0" xfId="0" applyFill="1"/>
    <xf numFmtId="0" fontId="30" fillId="33" borderId="0" xfId="0" applyFont="1" applyFill="1" applyBorder="1" applyAlignment="1">
      <alignment horizontal="center" vertical="center"/>
    </xf>
    <xf numFmtId="0" fontId="30" fillId="0" borderId="0" xfId="0" applyFont="1" applyBorder="1"/>
    <xf numFmtId="171" fontId="0" fillId="33" borderId="0" xfId="1094" applyNumberFormat="1" applyFont="1" applyFill="1" applyBorder="1" applyAlignment="1">
      <alignment horizontal="center" vertical="center"/>
    </xf>
    <xf numFmtId="167" fontId="0" fillId="33" borderId="0" xfId="1094" applyFont="1" applyFill="1" applyBorder="1" applyAlignment="1">
      <alignment horizontal="center" vertical="center"/>
    </xf>
    <xf numFmtId="0" fontId="27" fillId="33" borderId="0" xfId="0" applyFont="1" applyFill="1" applyBorder="1" applyAlignment="1">
      <alignment horizontal="center" vertical="center"/>
    </xf>
    <xf numFmtId="10" fontId="0" fillId="0" borderId="0" xfId="1077" applyNumberFormat="1" applyFont="1" applyBorder="1" applyAlignment="1">
      <alignment horizontal="right"/>
    </xf>
    <xf numFmtId="10" fontId="0" fillId="0" borderId="0" xfId="1077" applyNumberFormat="1" applyFont="1" applyBorder="1" applyAlignment="1">
      <alignment horizontal="center"/>
    </xf>
    <xf numFmtId="10" fontId="0" fillId="0" borderId="0" xfId="1077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0" xfId="1077" applyNumberFormat="1" applyFont="1" applyBorder="1"/>
    <xf numFmtId="3" fontId="24" fillId="33" borderId="0" xfId="2" applyNumberFormat="1" applyFont="1" applyFill="1" applyBorder="1" applyAlignment="1">
      <alignment horizontal="center" vertical="center"/>
    </xf>
    <xf numFmtId="0" fontId="32" fillId="33" borderId="0" xfId="0" applyFont="1" applyFill="1" applyBorder="1" applyAlignment="1">
      <alignment horizontal="center" vertical="center"/>
    </xf>
    <xf numFmtId="0" fontId="28" fillId="33" borderId="0" xfId="0" applyFont="1" applyFill="1" applyBorder="1" applyAlignment="1">
      <alignment horizontal="center" vertical="center"/>
    </xf>
    <xf numFmtId="0" fontId="29" fillId="33" borderId="0" xfId="0" applyFont="1" applyFill="1" applyBorder="1"/>
    <xf numFmtId="0" fontId="0" fillId="33" borderId="32" xfId="0" applyFill="1" applyBorder="1"/>
    <xf numFmtId="0" fontId="0" fillId="35" borderId="32" xfId="0" applyFill="1" applyBorder="1"/>
    <xf numFmtId="0" fontId="0" fillId="35" borderId="25" xfId="0" applyFont="1" applyFill="1" applyBorder="1"/>
    <xf numFmtId="0" fontId="0" fillId="35" borderId="26" xfId="0" applyFont="1" applyFill="1" applyBorder="1"/>
    <xf numFmtId="0" fontId="0" fillId="34" borderId="25" xfId="0" applyFill="1" applyBorder="1"/>
    <xf numFmtId="0" fontId="0" fillId="34" borderId="26" xfId="0" applyFill="1" applyBorder="1"/>
    <xf numFmtId="0" fontId="0" fillId="34" borderId="23" xfId="0" applyFill="1" applyBorder="1"/>
    <xf numFmtId="0" fontId="0" fillId="34" borderId="28" xfId="0" applyFill="1" applyBorder="1"/>
    <xf numFmtId="0" fontId="0" fillId="35" borderId="33" xfId="0" applyFont="1" applyFill="1" applyBorder="1"/>
    <xf numFmtId="0" fontId="0" fillId="35" borderId="34" xfId="0" applyFont="1" applyFill="1" applyBorder="1"/>
    <xf numFmtId="0" fontId="0" fillId="35" borderId="36" xfId="0" applyFill="1" applyBorder="1"/>
    <xf numFmtId="0" fontId="0" fillId="35" borderId="33" xfId="0" applyFill="1" applyBorder="1"/>
    <xf numFmtId="0" fontId="0" fillId="35" borderId="34" xfId="0" applyFill="1" applyBorder="1"/>
    <xf numFmtId="0" fontId="0" fillId="35" borderId="30" xfId="0" applyFill="1" applyBorder="1"/>
    <xf numFmtId="0" fontId="0" fillId="35" borderId="38" xfId="0" applyFont="1" applyFill="1" applyBorder="1"/>
    <xf numFmtId="0" fontId="0" fillId="35" borderId="37" xfId="0" applyFont="1" applyFill="1" applyBorder="1"/>
    <xf numFmtId="0" fontId="0" fillId="34" borderId="37" xfId="0" applyFill="1" applyBorder="1"/>
    <xf numFmtId="0" fontId="0" fillId="35" borderId="38" xfId="0" applyFill="1" applyBorder="1"/>
    <xf numFmtId="0" fontId="0" fillId="35" borderId="40" xfId="0" applyFont="1" applyFill="1" applyBorder="1"/>
    <xf numFmtId="0" fontId="0" fillId="35" borderId="41" xfId="0" applyFill="1" applyBorder="1"/>
    <xf numFmtId="0" fontId="0" fillId="35" borderId="39" xfId="0" applyFont="1" applyFill="1" applyBorder="1"/>
    <xf numFmtId="0" fontId="0" fillId="34" borderId="39" xfId="0" applyFill="1" applyBorder="1"/>
    <xf numFmtId="0" fontId="0" fillId="35" borderId="40" xfId="0" applyFill="1" applyBorder="1"/>
    <xf numFmtId="0" fontId="0" fillId="34" borderId="29" xfId="0" applyFill="1" applyBorder="1"/>
    <xf numFmtId="0" fontId="0" fillId="0" borderId="0" xfId="0" applyFill="1" applyBorder="1"/>
    <xf numFmtId="0" fontId="0" fillId="33" borderId="35" xfId="0" applyFill="1" applyBorder="1"/>
    <xf numFmtId="0" fontId="0" fillId="33" borderId="41" xfId="0" applyFill="1" applyBorder="1"/>
    <xf numFmtId="0" fontId="0" fillId="33" borderId="36" xfId="0" applyFill="1" applyBorder="1"/>
    <xf numFmtId="0" fontId="0" fillId="33" borderId="25" xfId="0" applyFill="1" applyBorder="1"/>
    <xf numFmtId="0" fontId="0" fillId="33" borderId="39" xfId="0" applyFill="1" applyBorder="1"/>
    <xf numFmtId="0" fontId="0" fillId="33" borderId="37" xfId="0" applyFill="1" applyBorder="1"/>
    <xf numFmtId="0" fontId="0" fillId="33" borderId="26" xfId="0" applyFill="1" applyBorder="1"/>
    <xf numFmtId="0" fontId="29" fillId="0" borderId="0" xfId="0" applyFont="1" applyBorder="1"/>
    <xf numFmtId="0" fontId="0" fillId="0" borderId="0" xfId="0" applyBorder="1" applyAlignment="1">
      <alignment horizontal="center" vertical="center"/>
    </xf>
    <xf numFmtId="0" fontId="41" fillId="33" borderId="0" xfId="0" applyFont="1" applyFill="1" applyAlignment="1">
      <alignment horizontal="center" vertical="center"/>
    </xf>
    <xf numFmtId="0" fontId="0" fillId="33" borderId="0" xfId="0" applyFont="1" applyFill="1" applyBorder="1" applyAlignment="1">
      <alignment horizontal="center" vertical="center" wrapText="1"/>
    </xf>
    <xf numFmtId="3" fontId="23" fillId="33" borderId="0" xfId="2" applyNumberFormat="1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73" fontId="0" fillId="0" borderId="0" xfId="1077" applyNumberFormat="1" applyFont="1" applyBorder="1" applyAlignment="1">
      <alignment horizontal="center" vertical="center"/>
    </xf>
    <xf numFmtId="0" fontId="35" fillId="33" borderId="39" xfId="0" applyFont="1" applyFill="1" applyBorder="1" applyAlignment="1">
      <alignment horizontal="center" vertical="center"/>
    </xf>
    <xf numFmtId="0" fontId="35" fillId="33" borderId="37" xfId="0" applyFont="1" applyFill="1" applyBorder="1" applyAlignment="1">
      <alignment horizontal="center" vertical="center"/>
    </xf>
    <xf numFmtId="0" fontId="35" fillId="33" borderId="26" xfId="0" applyFont="1" applyFill="1" applyBorder="1" applyAlignment="1">
      <alignment horizontal="center" vertical="center"/>
    </xf>
    <xf numFmtId="3" fontId="23" fillId="33" borderId="0" xfId="2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6" fillId="0" borderId="0" xfId="0" applyFont="1" applyBorder="1" applyAlignment="1">
      <alignment horizontal="center" vertical="center"/>
    </xf>
    <xf numFmtId="0" fontId="48" fillId="0" borderId="0" xfId="0" applyFont="1"/>
    <xf numFmtId="0" fontId="30" fillId="0" borderId="0" xfId="0" applyFont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0" xfId="0" applyBorder="1"/>
    <xf numFmtId="3" fontId="23" fillId="33" borderId="52" xfId="2" applyNumberFormat="1" applyFont="1" applyFill="1" applyBorder="1" applyAlignment="1">
      <alignment horizontal="center" vertical="center"/>
    </xf>
    <xf numFmtId="3" fontId="24" fillId="33" borderId="52" xfId="2" applyNumberFormat="1" applyFont="1" applyFill="1" applyBorder="1" applyAlignment="1">
      <alignment horizontal="center" vertical="center"/>
    </xf>
    <xf numFmtId="3" fontId="39" fillId="33" borderId="52" xfId="2" applyNumberFormat="1" applyFont="1" applyFill="1" applyBorder="1" applyAlignment="1">
      <alignment horizontal="center" vertical="center"/>
    </xf>
    <xf numFmtId="3" fontId="39" fillId="34" borderId="64" xfId="2" applyNumberFormat="1" applyFont="1" applyFill="1" applyBorder="1" applyAlignment="1">
      <alignment horizontal="center" vertical="center"/>
    </xf>
    <xf numFmtId="0" fontId="39" fillId="33" borderId="58" xfId="0" applyFont="1" applyFill="1" applyBorder="1" applyAlignment="1">
      <alignment horizontal="left" vertical="center"/>
    </xf>
    <xf numFmtId="0" fontId="39" fillId="33" borderId="60" xfId="0" applyFont="1" applyFill="1" applyBorder="1" applyAlignment="1">
      <alignment horizontal="left" vertical="center"/>
    </xf>
    <xf numFmtId="0" fontId="39" fillId="33" borderId="62" xfId="0" applyFont="1" applyFill="1" applyBorder="1" applyAlignment="1">
      <alignment horizontal="left" vertical="center"/>
    </xf>
    <xf numFmtId="3" fontId="45" fillId="33" borderId="51" xfId="2" applyNumberFormat="1" applyFont="1" applyFill="1" applyBorder="1" applyAlignment="1">
      <alignment horizontal="center" vertical="center"/>
    </xf>
    <xf numFmtId="3" fontId="45" fillId="33" borderId="49" xfId="2" applyNumberFormat="1" applyFont="1" applyFill="1" applyBorder="1" applyAlignment="1">
      <alignment horizontal="center" vertical="center"/>
    </xf>
    <xf numFmtId="3" fontId="51" fillId="33" borderId="22" xfId="2" applyNumberFormat="1" applyFont="1" applyFill="1" applyBorder="1" applyAlignment="1">
      <alignment horizontal="center" vertical="center"/>
    </xf>
    <xf numFmtId="0" fontId="53" fillId="33" borderId="0" xfId="0" applyFont="1" applyFill="1" applyBorder="1"/>
    <xf numFmtId="0" fontId="53" fillId="0" borderId="0" xfId="0" applyFont="1" applyAlignment="1">
      <alignment horizontal="left" vertical="center"/>
    </xf>
    <xf numFmtId="0" fontId="0" fillId="0" borderId="47" xfId="0" applyBorder="1"/>
    <xf numFmtId="0" fontId="40" fillId="34" borderId="73" xfId="0" applyFont="1" applyFill="1" applyBorder="1" applyAlignment="1">
      <alignment horizontal="center" vertical="center"/>
    </xf>
    <xf numFmtId="0" fontId="0" fillId="0" borderId="72" xfId="0" applyBorder="1"/>
    <xf numFmtId="0" fontId="40" fillId="34" borderId="89" xfId="0" applyFont="1" applyFill="1" applyBorder="1" applyAlignment="1">
      <alignment horizontal="center" vertical="center"/>
    </xf>
    <xf numFmtId="0" fontId="44" fillId="38" borderId="94" xfId="0" applyFont="1" applyFill="1" applyBorder="1" applyAlignment="1">
      <alignment horizontal="center" vertical="center"/>
    </xf>
    <xf numFmtId="0" fontId="44" fillId="38" borderId="95" xfId="0" applyFont="1" applyFill="1" applyBorder="1" applyAlignment="1">
      <alignment horizontal="center" vertical="center"/>
    </xf>
    <xf numFmtId="0" fontId="40" fillId="34" borderId="100" xfId="0" applyFont="1" applyFill="1" applyBorder="1" applyAlignment="1">
      <alignment horizontal="center" vertical="center"/>
    </xf>
    <xf numFmtId="0" fontId="0" fillId="33" borderId="106" xfId="0" applyFill="1" applyBorder="1"/>
    <xf numFmtId="0" fontId="40" fillId="34" borderId="93" xfId="0" applyFont="1" applyFill="1" applyBorder="1" applyAlignment="1">
      <alignment horizontal="center" vertical="center"/>
    </xf>
    <xf numFmtId="0" fontId="51" fillId="38" borderId="94" xfId="0" applyFont="1" applyFill="1" applyBorder="1" applyAlignment="1">
      <alignment horizontal="center" vertical="center"/>
    </xf>
    <xf numFmtId="0" fontId="51" fillId="38" borderId="95" xfId="0" applyFont="1" applyFill="1" applyBorder="1" applyAlignment="1">
      <alignment horizontal="center" vertical="center"/>
    </xf>
    <xf numFmtId="0" fontId="51" fillId="38" borderId="69" xfId="0" applyFont="1" applyFill="1" applyBorder="1" applyAlignment="1">
      <alignment horizontal="center" vertical="center"/>
    </xf>
    <xf numFmtId="171" fontId="51" fillId="38" borderId="75" xfId="1094" applyNumberFormat="1" applyFont="1" applyFill="1" applyBorder="1" applyAlignment="1">
      <alignment horizontal="center"/>
    </xf>
    <xf numFmtId="0" fontId="51" fillId="38" borderId="90" xfId="0" applyFont="1" applyFill="1" applyBorder="1" applyAlignment="1">
      <alignment horizontal="center" vertical="center"/>
    </xf>
    <xf numFmtId="171" fontId="51" fillId="38" borderId="82" xfId="1094" applyNumberFormat="1" applyFont="1" applyFill="1" applyBorder="1" applyAlignment="1">
      <alignment horizontal="center"/>
    </xf>
    <xf numFmtId="0" fontId="38" fillId="33" borderId="96" xfId="0" applyFont="1" applyFill="1" applyBorder="1" applyAlignment="1">
      <alignment horizontal="center" vertical="center"/>
    </xf>
    <xf numFmtId="0" fontId="38" fillId="33" borderId="91" xfId="0" applyFont="1" applyFill="1" applyBorder="1" applyAlignment="1">
      <alignment horizontal="center" vertical="center"/>
    </xf>
    <xf numFmtId="171" fontId="45" fillId="33" borderId="79" xfId="1094" applyNumberFormat="1" applyFont="1" applyFill="1" applyBorder="1" applyAlignment="1">
      <alignment horizontal="center" vertical="center"/>
    </xf>
    <xf numFmtId="0" fontId="38" fillId="38" borderId="75" xfId="0" applyFont="1" applyFill="1" applyBorder="1" applyAlignment="1">
      <alignment horizontal="center" vertical="center"/>
    </xf>
    <xf numFmtId="167" fontId="45" fillId="33" borderId="79" xfId="1094" applyFont="1" applyFill="1" applyBorder="1" applyAlignment="1">
      <alignment horizontal="center" vertical="center"/>
    </xf>
    <xf numFmtId="0" fontId="51" fillId="38" borderId="101" xfId="0" applyFont="1" applyFill="1" applyBorder="1" applyAlignment="1">
      <alignment horizontal="center" vertical="center"/>
    </xf>
    <xf numFmtId="171" fontId="51" fillId="38" borderId="75" xfId="1094" applyNumberFormat="1" applyFont="1" applyFill="1" applyBorder="1" applyAlignment="1">
      <alignment horizontal="center" vertical="center"/>
    </xf>
    <xf numFmtId="0" fontId="51" fillId="38" borderId="102" xfId="0" applyFont="1" applyFill="1" applyBorder="1" applyAlignment="1">
      <alignment horizontal="center" vertical="center"/>
    </xf>
    <xf numFmtId="171" fontId="51" fillId="38" borderId="82" xfId="1094" applyNumberFormat="1" applyFont="1" applyFill="1" applyBorder="1" applyAlignment="1">
      <alignment horizontal="center" vertical="center"/>
    </xf>
    <xf numFmtId="0" fontId="38" fillId="33" borderId="103" xfId="0" applyFont="1" applyFill="1" applyBorder="1" applyAlignment="1">
      <alignment horizontal="center" vertical="center"/>
    </xf>
    <xf numFmtId="171" fontId="51" fillId="33" borderId="79" xfId="1094" applyNumberFormat="1" applyFont="1" applyFill="1" applyBorder="1" applyAlignment="1">
      <alignment horizontal="center" vertical="center"/>
    </xf>
    <xf numFmtId="0" fontId="39" fillId="38" borderId="104" xfId="0" applyFont="1" applyFill="1" applyBorder="1" applyAlignment="1">
      <alignment horizontal="center" vertical="center"/>
    </xf>
    <xf numFmtId="0" fontId="39" fillId="38" borderId="50" xfId="0" applyFont="1" applyFill="1" applyBorder="1" applyAlignment="1">
      <alignment horizontal="center" vertical="center"/>
    </xf>
    <xf numFmtId="0" fontId="45" fillId="38" borderId="84" xfId="0" applyFont="1" applyFill="1" applyBorder="1" applyAlignment="1">
      <alignment horizontal="center" vertical="center"/>
    </xf>
    <xf numFmtId="0" fontId="38" fillId="33" borderId="104" xfId="0" applyFont="1" applyFill="1" applyBorder="1" applyAlignment="1">
      <alignment horizontal="center" vertical="center"/>
    </xf>
    <xf numFmtId="0" fontId="38" fillId="33" borderId="50" xfId="0" applyFont="1" applyFill="1" applyBorder="1" applyAlignment="1">
      <alignment horizontal="center" vertical="center"/>
    </xf>
    <xf numFmtId="171" fontId="51" fillId="33" borderId="84" xfId="1094" applyNumberFormat="1" applyFont="1" applyFill="1" applyBorder="1" applyAlignment="1">
      <alignment horizontal="center"/>
    </xf>
    <xf numFmtId="0" fontId="38" fillId="38" borderId="105" xfId="0" applyFont="1" applyFill="1" applyBorder="1" applyAlignment="1">
      <alignment horizontal="center" vertical="center"/>
    </xf>
    <xf numFmtId="0" fontId="38" fillId="38" borderId="68" xfId="0" applyFont="1" applyFill="1" applyBorder="1" applyAlignment="1">
      <alignment horizontal="center" vertical="center"/>
    </xf>
    <xf numFmtId="171" fontId="51" fillId="38" borderId="42" xfId="1094" applyNumberFormat="1" applyFont="1" applyFill="1" applyBorder="1" applyAlignment="1">
      <alignment horizontal="center"/>
    </xf>
    <xf numFmtId="0" fontId="38" fillId="33" borderId="92" xfId="0" applyFont="1" applyFill="1" applyBorder="1" applyAlignment="1">
      <alignment horizontal="center" vertical="center"/>
    </xf>
    <xf numFmtId="0" fontId="38" fillId="33" borderId="88" xfId="0" applyFont="1" applyFill="1" applyBorder="1" applyAlignment="1">
      <alignment horizontal="center" vertical="center"/>
    </xf>
    <xf numFmtId="0" fontId="38" fillId="33" borderId="87" xfId="0" applyFont="1" applyFill="1" applyBorder="1" applyAlignment="1">
      <alignment horizontal="center" vertical="center"/>
    </xf>
    <xf numFmtId="3" fontId="39" fillId="39" borderId="15" xfId="2" applyNumberFormat="1" applyFont="1" applyFill="1" applyBorder="1" applyAlignment="1">
      <alignment horizontal="center" vertical="center" wrapText="1"/>
    </xf>
    <xf numFmtId="3" fontId="39" fillId="39" borderId="0" xfId="2" applyNumberFormat="1" applyFont="1" applyFill="1" applyBorder="1" applyAlignment="1">
      <alignment horizontal="center" vertical="center" wrapText="1"/>
    </xf>
    <xf numFmtId="3" fontId="39" fillId="39" borderId="57" xfId="2" applyNumberFormat="1" applyFont="1" applyFill="1" applyBorder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45" fillId="0" borderId="0" xfId="0" applyFont="1" applyBorder="1"/>
    <xf numFmtId="0" fontId="45" fillId="0" borderId="78" xfId="0" applyFont="1" applyBorder="1"/>
    <xf numFmtId="0" fontId="45" fillId="0" borderId="103" xfId="0" applyFont="1" applyBorder="1"/>
    <xf numFmtId="0" fontId="45" fillId="0" borderId="103" xfId="0" applyFont="1" applyBorder="1" applyAlignment="1">
      <alignment horizontal="center" vertical="center"/>
    </xf>
    <xf numFmtId="0" fontId="45" fillId="0" borderId="113" xfId="0" applyFont="1" applyBorder="1"/>
    <xf numFmtId="0" fontId="45" fillId="0" borderId="114" xfId="0" applyFont="1" applyBorder="1"/>
    <xf numFmtId="0" fontId="45" fillId="0" borderId="91" xfId="0" applyFont="1" applyBorder="1" applyAlignment="1">
      <alignment horizontal="center" vertical="center"/>
    </xf>
    <xf numFmtId="0" fontId="45" fillId="33" borderId="98" xfId="0" applyFont="1" applyFill="1" applyBorder="1"/>
    <xf numFmtId="0" fontId="45" fillId="33" borderId="115" xfId="0" applyFont="1" applyFill="1" applyBorder="1"/>
    <xf numFmtId="0" fontId="45" fillId="33" borderId="69" xfId="0" applyFont="1" applyFill="1" applyBorder="1"/>
    <xf numFmtId="0" fontId="45" fillId="33" borderId="48" xfId="0" applyFont="1" applyFill="1" applyBorder="1"/>
    <xf numFmtId="0" fontId="45" fillId="33" borderId="91" xfId="0" applyFont="1" applyFill="1" applyBorder="1"/>
    <xf numFmtId="0" fontId="45" fillId="33" borderId="92" xfId="0" applyFont="1" applyFill="1" applyBorder="1" applyAlignment="1">
      <alignment horizontal="center" vertical="center"/>
    </xf>
    <xf numFmtId="0" fontId="54" fillId="0" borderId="0" xfId="0" applyFont="1"/>
    <xf numFmtId="0" fontId="40" fillId="34" borderId="92" xfId="0" applyFont="1" applyFill="1" applyBorder="1" applyAlignment="1">
      <alignment horizontal="center" vertical="center"/>
    </xf>
    <xf numFmtId="0" fontId="55" fillId="34" borderId="89" xfId="0" applyFont="1" applyFill="1" applyBorder="1" applyAlignment="1">
      <alignment horizontal="center" vertical="center"/>
    </xf>
    <xf numFmtId="0" fontId="55" fillId="34" borderId="119" xfId="0" applyFont="1" applyFill="1" applyBorder="1" applyAlignment="1">
      <alignment horizontal="center" vertical="center"/>
    </xf>
    <xf numFmtId="0" fontId="45" fillId="33" borderId="101" xfId="0" applyFont="1" applyFill="1" applyBorder="1"/>
    <xf numFmtId="0" fontId="55" fillId="34" borderId="99" xfId="0" applyFont="1" applyFill="1" applyBorder="1" applyAlignment="1">
      <alignment horizontal="center" vertical="center"/>
    </xf>
    <xf numFmtId="0" fontId="45" fillId="35" borderId="120" xfId="0" applyFont="1" applyFill="1" applyBorder="1"/>
    <xf numFmtId="0" fontId="45" fillId="35" borderId="121" xfId="0" applyFont="1" applyFill="1" applyBorder="1"/>
    <xf numFmtId="0" fontId="45" fillId="35" borderId="122" xfId="0" applyFont="1" applyFill="1" applyBorder="1"/>
    <xf numFmtId="0" fontId="45" fillId="35" borderId="123" xfId="0" applyFont="1" applyFill="1" applyBorder="1"/>
    <xf numFmtId="0" fontId="0" fillId="0" borderId="128" xfId="0" applyBorder="1"/>
    <xf numFmtId="0" fontId="30" fillId="33" borderId="0" xfId="0" applyFont="1" applyFill="1" applyBorder="1"/>
    <xf numFmtId="0" fontId="0" fillId="33" borderId="76" xfId="0" applyFill="1" applyBorder="1"/>
    <xf numFmtId="0" fontId="0" fillId="33" borderId="72" xfId="0" applyFill="1" applyBorder="1"/>
    <xf numFmtId="0" fontId="55" fillId="34" borderId="129" xfId="0" applyFont="1" applyFill="1" applyBorder="1" applyAlignment="1">
      <alignment horizontal="center" vertical="center"/>
    </xf>
    <xf numFmtId="0" fontId="55" fillId="34" borderId="108" xfId="0" applyFont="1" applyFill="1" applyBorder="1" applyAlignment="1">
      <alignment horizontal="center" vertical="center"/>
    </xf>
    <xf numFmtId="0" fontId="0" fillId="0" borderId="76" xfId="0" applyBorder="1"/>
    <xf numFmtId="0" fontId="55" fillId="34" borderId="139" xfId="0" applyFont="1" applyFill="1" applyBorder="1" applyAlignment="1">
      <alignment horizontal="center" vertical="center"/>
    </xf>
    <xf numFmtId="0" fontId="51" fillId="33" borderId="132" xfId="0" applyFont="1" applyFill="1" applyBorder="1" applyAlignment="1">
      <alignment horizontal="center" vertical="center"/>
    </xf>
    <xf numFmtId="0" fontId="45" fillId="33" borderId="134" xfId="0" applyFont="1" applyFill="1" applyBorder="1" applyAlignment="1">
      <alignment horizontal="center" vertical="center"/>
    </xf>
    <xf numFmtId="0" fontId="51" fillId="33" borderId="134" xfId="0" applyFont="1" applyFill="1" applyBorder="1" applyAlignment="1">
      <alignment horizontal="center" vertical="center"/>
    </xf>
    <xf numFmtId="0" fontId="45" fillId="33" borderId="79" xfId="0" applyFont="1" applyFill="1" applyBorder="1" applyAlignment="1">
      <alignment horizontal="center" vertical="center"/>
    </xf>
    <xf numFmtId="0" fontId="0" fillId="0" borderId="135" xfId="0" applyBorder="1" applyAlignment="1">
      <alignment horizontal="center" vertical="center"/>
    </xf>
    <xf numFmtId="0" fontId="0" fillId="33" borderId="133" xfId="0" applyFill="1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0" fontId="0" fillId="33" borderId="137" xfId="0" applyFill="1" applyBorder="1" applyAlignment="1">
      <alignment horizontal="center" vertical="center"/>
    </xf>
    <xf numFmtId="0" fontId="55" fillId="34" borderId="107" xfId="0" applyFont="1" applyFill="1" applyBorder="1" applyAlignment="1">
      <alignment horizontal="center" vertical="center"/>
    </xf>
    <xf numFmtId="0" fontId="0" fillId="33" borderId="77" xfId="0" applyFill="1" applyBorder="1" applyAlignment="1">
      <alignment horizontal="center" vertical="center"/>
    </xf>
    <xf numFmtId="0" fontId="0" fillId="33" borderId="144" xfId="0" applyFill="1" applyBorder="1" applyAlignment="1">
      <alignment horizontal="center" vertical="center"/>
    </xf>
    <xf numFmtId="0" fontId="0" fillId="33" borderId="130" xfId="0" applyFill="1" applyBorder="1" applyAlignment="1">
      <alignment horizontal="center" vertical="center"/>
    </xf>
    <xf numFmtId="0" fontId="0" fillId="0" borderId="106" xfId="0" applyBorder="1"/>
    <xf numFmtId="0" fontId="42" fillId="33" borderId="0" xfId="0" applyFont="1" applyFill="1" applyBorder="1" applyAlignment="1">
      <alignment horizontal="center" vertical="center"/>
    </xf>
    <xf numFmtId="0" fontId="39" fillId="33" borderId="152" xfId="0" applyFont="1" applyFill="1" applyBorder="1" applyAlignment="1">
      <alignment horizontal="center" vertical="center"/>
    </xf>
    <xf numFmtId="0" fontId="45" fillId="33" borderId="153" xfId="0" applyFont="1" applyFill="1" applyBorder="1"/>
    <xf numFmtId="0" fontId="45" fillId="33" borderId="102" xfId="0" applyFont="1" applyFill="1" applyBorder="1"/>
    <xf numFmtId="0" fontId="45" fillId="33" borderId="79" xfId="0" applyFont="1" applyFill="1" applyBorder="1"/>
    <xf numFmtId="0" fontId="45" fillId="0" borderId="117" xfId="0" applyFont="1" applyBorder="1"/>
    <xf numFmtId="0" fontId="45" fillId="0" borderId="42" xfId="0" applyFont="1" applyBorder="1"/>
    <xf numFmtId="0" fontId="45" fillId="0" borderId="26" xfId="0" applyFont="1" applyBorder="1"/>
    <xf numFmtId="0" fontId="45" fillId="0" borderId="124" xfId="0" applyFont="1" applyBorder="1"/>
    <xf numFmtId="0" fontId="39" fillId="0" borderId="79" xfId="0" applyFont="1" applyBorder="1" applyAlignment="1">
      <alignment horizontal="center"/>
    </xf>
    <xf numFmtId="0" fontId="45" fillId="33" borderId="84" xfId="0" applyFont="1" applyFill="1" applyBorder="1"/>
    <xf numFmtId="0" fontId="45" fillId="33" borderId="42" xfId="0" applyFont="1" applyFill="1" applyBorder="1"/>
    <xf numFmtId="0" fontId="45" fillId="0" borderId="82" xfId="0" applyFont="1" applyBorder="1"/>
    <xf numFmtId="0" fontId="39" fillId="0" borderId="88" xfId="0" applyFont="1" applyBorder="1" applyAlignment="1">
      <alignment horizontal="center"/>
    </xf>
    <xf numFmtId="0" fontId="45" fillId="33" borderId="104" xfId="0" applyFont="1" applyFill="1" applyBorder="1"/>
    <xf numFmtId="0" fontId="45" fillId="33" borderId="94" xfId="0" applyFont="1" applyFill="1" applyBorder="1"/>
    <xf numFmtId="0" fontId="45" fillId="33" borderId="68" xfId="0" applyFont="1" applyFill="1" applyBorder="1"/>
    <xf numFmtId="0" fontId="45" fillId="0" borderId="157" xfId="0" applyFont="1" applyBorder="1"/>
    <xf numFmtId="0" fontId="45" fillId="33" borderId="117" xfId="0" applyFont="1" applyFill="1" applyBorder="1" applyAlignment="1">
      <alignment horizontal="center" vertical="center"/>
    </xf>
    <xf numFmtId="0" fontId="45" fillId="33" borderId="115" xfId="0" applyFont="1" applyFill="1" applyBorder="1" applyAlignment="1">
      <alignment horizontal="center" vertical="center"/>
    </xf>
    <xf numFmtId="0" fontId="45" fillId="33" borderId="84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157" xfId="0" applyFont="1" applyBorder="1" applyAlignment="1">
      <alignment horizontal="center" vertical="center"/>
    </xf>
    <xf numFmtId="0" fontId="45" fillId="33" borderId="42" xfId="0" applyFont="1" applyFill="1" applyBorder="1" applyAlignment="1">
      <alignment horizontal="center" vertical="center"/>
    </xf>
    <xf numFmtId="0" fontId="45" fillId="33" borderId="68" xfId="0" applyFont="1" applyFill="1" applyBorder="1" applyAlignment="1">
      <alignment horizontal="center" vertical="center"/>
    </xf>
    <xf numFmtId="0" fontId="45" fillId="33" borderId="157" xfId="0" applyFont="1" applyFill="1" applyBorder="1" applyAlignment="1">
      <alignment horizontal="center" vertical="center"/>
    </xf>
    <xf numFmtId="0" fontId="45" fillId="0" borderId="92" xfId="0" applyFont="1" applyBorder="1" applyAlignment="1">
      <alignment horizontal="center" vertical="center"/>
    </xf>
    <xf numFmtId="0" fontId="53" fillId="0" borderId="0" xfId="0" applyFont="1"/>
    <xf numFmtId="0" fontId="40" fillId="34" borderId="71" xfId="0" applyFont="1" applyFill="1" applyBorder="1" applyAlignment="1">
      <alignment horizontal="center" vertical="center"/>
    </xf>
    <xf numFmtId="0" fontId="0" fillId="33" borderId="86" xfId="0" applyFill="1" applyBorder="1"/>
    <xf numFmtId="0" fontId="40" fillId="34" borderId="70" xfId="0" applyFont="1" applyFill="1" applyBorder="1" applyAlignment="1">
      <alignment horizontal="center" vertical="center"/>
    </xf>
    <xf numFmtId="0" fontId="0" fillId="0" borderId="76" xfId="0" applyBorder="1" applyAlignment="1">
      <alignment vertical="center"/>
    </xf>
    <xf numFmtId="0" fontId="0" fillId="0" borderId="126" xfId="0" applyBorder="1"/>
    <xf numFmtId="0" fontId="55" fillId="34" borderId="100" xfId="0" applyFont="1" applyFill="1" applyBorder="1" applyAlignment="1">
      <alignment horizontal="center" vertical="center"/>
    </xf>
    <xf numFmtId="0" fontId="45" fillId="33" borderId="103" xfId="0" applyFont="1" applyFill="1" applyBorder="1"/>
    <xf numFmtId="0" fontId="29" fillId="33" borderId="72" xfId="0" applyFont="1" applyFill="1" applyBorder="1"/>
    <xf numFmtId="0" fontId="29" fillId="0" borderId="72" xfId="0" applyFont="1" applyBorder="1" applyAlignment="1">
      <alignment horizontal="center"/>
    </xf>
    <xf numFmtId="0" fontId="0" fillId="0" borderId="159" xfId="0" applyBorder="1" applyAlignment="1">
      <alignment horizontal="center" vertical="center"/>
    </xf>
    <xf numFmtId="0" fontId="0" fillId="0" borderId="161" xfId="0" applyBorder="1" applyAlignment="1">
      <alignment horizontal="center" vertical="center"/>
    </xf>
    <xf numFmtId="0" fontId="0" fillId="0" borderId="160" xfId="0" applyBorder="1" applyAlignment="1">
      <alignment horizontal="center" vertical="center"/>
    </xf>
    <xf numFmtId="0" fontId="55" fillId="34" borderId="131" xfId="0" applyFont="1" applyFill="1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40" fillId="34" borderId="151" xfId="0" applyFont="1" applyFill="1" applyBorder="1" applyAlignment="1">
      <alignment horizontal="center" vertical="center"/>
    </xf>
    <xf numFmtId="0" fontId="42" fillId="33" borderId="99" xfId="0" applyFont="1" applyFill="1" applyBorder="1" applyAlignment="1">
      <alignment horizontal="center" vertical="center"/>
    </xf>
    <xf numFmtId="0" fontId="42" fillId="33" borderId="112" xfId="0" applyFont="1" applyFill="1" applyBorder="1" applyAlignment="1">
      <alignment horizontal="center" vertical="center"/>
    </xf>
    <xf numFmtId="0" fontId="45" fillId="0" borderId="89" xfId="0" applyFont="1" applyBorder="1" applyAlignment="1">
      <alignment horizontal="center" vertical="center"/>
    </xf>
    <xf numFmtId="0" fontId="45" fillId="0" borderId="164" xfId="0" applyFont="1" applyBorder="1" applyAlignment="1">
      <alignment horizontal="center" vertical="center"/>
    </xf>
    <xf numFmtId="0" fontId="45" fillId="0" borderId="88" xfId="0" applyFont="1" applyBorder="1" applyAlignment="1">
      <alignment horizontal="center" vertical="center"/>
    </xf>
    <xf numFmtId="0" fontId="45" fillId="0" borderId="86" xfId="0" applyFont="1" applyBorder="1" applyAlignment="1">
      <alignment horizontal="center" vertical="center"/>
    </xf>
    <xf numFmtId="0" fontId="45" fillId="0" borderId="87" xfId="0" applyFont="1" applyBorder="1" applyAlignment="1">
      <alignment horizontal="center" vertical="center"/>
    </xf>
    <xf numFmtId="0" fontId="45" fillId="0" borderId="167" xfId="0" applyFont="1" applyBorder="1" applyAlignment="1">
      <alignment horizontal="center" vertical="center"/>
    </xf>
    <xf numFmtId="0" fontId="45" fillId="0" borderId="168" xfId="0" applyFont="1" applyBorder="1" applyAlignment="1">
      <alignment horizontal="center" vertical="center"/>
    </xf>
    <xf numFmtId="0" fontId="45" fillId="0" borderId="169" xfId="0" applyFont="1" applyBorder="1" applyAlignment="1">
      <alignment horizontal="center" vertical="center"/>
    </xf>
    <xf numFmtId="0" fontId="45" fillId="33" borderId="50" xfId="0" applyFont="1" applyFill="1" applyBorder="1" applyAlignment="1">
      <alignment horizontal="center" vertical="center"/>
    </xf>
    <xf numFmtId="0" fontId="45" fillId="33" borderId="69" xfId="0" applyFont="1" applyFill="1" applyBorder="1" applyAlignment="1">
      <alignment horizontal="center" vertical="center"/>
    </xf>
    <xf numFmtId="0" fontId="45" fillId="0" borderId="170" xfId="0" applyFont="1" applyBorder="1" applyAlignment="1">
      <alignment horizontal="center" vertical="center"/>
    </xf>
    <xf numFmtId="0" fontId="54" fillId="33" borderId="0" xfId="0" applyFont="1" applyFill="1" applyAlignment="1">
      <alignment horizontal="left" vertical="center"/>
    </xf>
    <xf numFmtId="0" fontId="38" fillId="33" borderId="85" xfId="0" applyFont="1" applyFill="1" applyBorder="1" applyAlignment="1">
      <alignment horizontal="center" vertical="center"/>
    </xf>
    <xf numFmtId="0" fontId="45" fillId="33" borderId="98" xfId="0" applyFont="1" applyFill="1" applyBorder="1" applyAlignment="1">
      <alignment horizontal="center" vertical="center"/>
    </xf>
    <xf numFmtId="0" fontId="45" fillId="33" borderId="111" xfId="0" applyFont="1" applyFill="1" applyBorder="1" applyAlignment="1">
      <alignment horizontal="center" vertical="center"/>
    </xf>
    <xf numFmtId="0" fontId="45" fillId="33" borderId="102" xfId="0" applyFont="1" applyFill="1" applyBorder="1" applyAlignment="1">
      <alignment horizontal="center" vertical="center"/>
    </xf>
    <xf numFmtId="0" fontId="40" fillId="34" borderId="85" xfId="0" applyFont="1" applyFill="1" applyBorder="1" applyAlignment="1">
      <alignment horizontal="center" vertical="center"/>
    </xf>
    <xf numFmtId="0" fontId="40" fillId="34" borderId="88" xfId="0" applyFont="1" applyFill="1" applyBorder="1" applyAlignment="1">
      <alignment horizontal="center" vertical="center"/>
    </xf>
    <xf numFmtId="0" fontId="40" fillId="34" borderId="99" xfId="0" applyFont="1" applyFill="1" applyBorder="1" applyAlignment="1">
      <alignment horizontal="center" vertical="center"/>
    </xf>
    <xf numFmtId="0" fontId="40" fillId="34" borderId="154" xfId="0" applyFont="1" applyFill="1" applyBorder="1" applyAlignment="1">
      <alignment horizontal="center" vertical="center"/>
    </xf>
    <xf numFmtId="0" fontId="45" fillId="33" borderId="171" xfId="0" applyFont="1" applyFill="1" applyBorder="1" applyAlignment="1">
      <alignment horizontal="center" vertical="center"/>
    </xf>
    <xf numFmtId="0" fontId="45" fillId="33" borderId="150" xfId="0" applyFont="1" applyFill="1" applyBorder="1" applyAlignment="1">
      <alignment horizontal="center" vertical="center"/>
    </xf>
    <xf numFmtId="0" fontId="45" fillId="33" borderId="172" xfId="0" applyFont="1" applyFill="1" applyBorder="1" applyAlignment="1">
      <alignment horizontal="center" vertical="center"/>
    </xf>
    <xf numFmtId="0" fontId="45" fillId="33" borderId="173" xfId="0" applyFont="1" applyFill="1" applyBorder="1" applyAlignment="1">
      <alignment horizontal="center" vertical="center"/>
    </xf>
    <xf numFmtId="0" fontId="45" fillId="33" borderId="91" xfId="0" applyFont="1" applyFill="1" applyBorder="1" applyAlignment="1">
      <alignment horizontal="center" vertical="center"/>
    </xf>
    <xf numFmtId="0" fontId="45" fillId="33" borderId="177" xfId="0" applyFont="1" applyFill="1" applyBorder="1" applyAlignment="1">
      <alignment horizontal="center" vertical="center"/>
    </xf>
    <xf numFmtId="0" fontId="45" fillId="33" borderId="180" xfId="0" applyFont="1" applyFill="1" applyBorder="1" applyAlignment="1">
      <alignment horizontal="center" vertical="center"/>
    </xf>
    <xf numFmtId="0" fontId="45" fillId="33" borderId="181" xfId="0" applyFont="1" applyFill="1" applyBorder="1" applyAlignment="1">
      <alignment horizontal="center" vertical="center"/>
    </xf>
    <xf numFmtId="0" fontId="39" fillId="33" borderId="176" xfId="0" applyFont="1" applyFill="1" applyBorder="1" applyAlignment="1">
      <alignment horizontal="center" vertical="center"/>
    </xf>
    <xf numFmtId="0" fontId="39" fillId="33" borderId="179" xfId="0" applyFont="1" applyFill="1" applyBorder="1" applyAlignment="1">
      <alignment horizontal="center" vertical="center"/>
    </xf>
    <xf numFmtId="0" fontId="45" fillId="0" borderId="79" xfId="0" applyFont="1" applyBorder="1"/>
    <xf numFmtId="0" fontId="40" fillId="34" borderId="99" xfId="0" applyFont="1" applyFill="1" applyBorder="1" applyAlignment="1">
      <alignment horizontal="center" vertical="center" wrapText="1"/>
    </xf>
    <xf numFmtId="0" fontId="40" fillId="34" borderId="86" xfId="0" applyFont="1" applyFill="1" applyBorder="1" applyAlignment="1">
      <alignment horizontal="center" vertical="center" wrapText="1"/>
    </xf>
    <xf numFmtId="0" fontId="40" fillId="34" borderId="154" xfId="0" applyFont="1" applyFill="1" applyBorder="1" applyAlignment="1">
      <alignment horizontal="center" vertical="center" wrapText="1"/>
    </xf>
    <xf numFmtId="0" fontId="45" fillId="33" borderId="175" xfId="0" applyFont="1" applyFill="1" applyBorder="1" applyAlignment="1">
      <alignment horizontal="center" vertical="center" wrapText="1"/>
    </xf>
    <xf numFmtId="0" fontId="45" fillId="33" borderId="150" xfId="0" applyFont="1" applyFill="1" applyBorder="1" applyAlignment="1">
      <alignment horizontal="center" vertical="center" wrapText="1"/>
    </xf>
    <xf numFmtId="0" fontId="45" fillId="33" borderId="172" xfId="0" applyFont="1" applyFill="1" applyBorder="1" applyAlignment="1">
      <alignment horizontal="center" vertical="center" wrapText="1"/>
    </xf>
    <xf numFmtId="0" fontId="45" fillId="33" borderId="174" xfId="0" applyFont="1" applyFill="1" applyBorder="1"/>
    <xf numFmtId="20" fontId="45" fillId="0" borderId="26" xfId="0" applyNumberFormat="1" applyFont="1" applyBorder="1" applyAlignment="1">
      <alignment horizontal="center" vertical="center"/>
    </xf>
    <xf numFmtId="0" fontId="45" fillId="0" borderId="110" xfId="0" applyFont="1" applyBorder="1"/>
    <xf numFmtId="0" fontId="39" fillId="39" borderId="110" xfId="0" applyFont="1" applyFill="1" applyBorder="1" applyAlignment="1">
      <alignment horizontal="center" vertical="center" wrapText="1"/>
    </xf>
    <xf numFmtId="0" fontId="39" fillId="39" borderId="79" xfId="0" applyFont="1" applyFill="1" applyBorder="1" applyAlignment="1">
      <alignment horizontal="center" vertical="center" wrapText="1"/>
    </xf>
    <xf numFmtId="0" fontId="39" fillId="39" borderId="92" xfId="0" applyFont="1" applyFill="1" applyBorder="1" applyAlignment="1">
      <alignment horizontal="center" vertical="center" wrapText="1"/>
    </xf>
    <xf numFmtId="0" fontId="45" fillId="33" borderId="113" xfId="0" applyFont="1" applyFill="1" applyBorder="1" applyAlignment="1">
      <alignment horizontal="center" vertical="center" wrapText="1"/>
    </xf>
    <xf numFmtId="0" fontId="45" fillId="33" borderId="114" xfId="0" applyFont="1" applyFill="1" applyBorder="1" applyAlignment="1">
      <alignment horizontal="center" vertical="center" wrapText="1"/>
    </xf>
    <xf numFmtId="0" fontId="39" fillId="39" borderId="112" xfId="0" applyFont="1" applyFill="1" applyBorder="1" applyAlignment="1">
      <alignment horizontal="center" vertical="center" wrapText="1"/>
    </xf>
    <xf numFmtId="20" fontId="45" fillId="0" borderId="113" xfId="0" applyNumberFormat="1" applyFont="1" applyBorder="1" applyAlignment="1">
      <alignment horizontal="center" vertical="center"/>
    </xf>
    <xf numFmtId="20" fontId="45" fillId="0" borderId="186" xfId="0" applyNumberFormat="1" applyFont="1" applyBorder="1" applyAlignment="1">
      <alignment horizontal="center" vertical="center"/>
    </xf>
    <xf numFmtId="0" fontId="45" fillId="0" borderId="43" xfId="0" applyFont="1" applyBorder="1"/>
    <xf numFmtId="0" fontId="38" fillId="39" borderId="110" xfId="0" applyFont="1" applyFill="1" applyBorder="1" applyAlignment="1">
      <alignment horizontal="center" vertical="center" wrapText="1"/>
    </xf>
    <xf numFmtId="0" fontId="38" fillId="39" borderId="79" xfId="0" applyFont="1" applyFill="1" applyBorder="1" applyAlignment="1">
      <alignment horizontal="center" vertical="center" wrapText="1"/>
    </xf>
    <xf numFmtId="20" fontId="45" fillId="33" borderId="26" xfId="0" applyNumberFormat="1" applyFont="1" applyFill="1" applyBorder="1" applyAlignment="1">
      <alignment horizontal="center" vertical="center"/>
    </xf>
    <xf numFmtId="20" fontId="45" fillId="33" borderId="110" xfId="0" applyNumberFormat="1" applyFont="1" applyFill="1" applyBorder="1" applyAlignment="1">
      <alignment horizontal="center" vertical="center"/>
    </xf>
    <xf numFmtId="0" fontId="38" fillId="39" borderId="112" xfId="0" applyFont="1" applyFill="1" applyBorder="1" applyAlignment="1">
      <alignment horizontal="center" vertical="center" wrapText="1"/>
    </xf>
    <xf numFmtId="20" fontId="45" fillId="33" borderId="113" xfId="0" applyNumberFormat="1" applyFont="1" applyFill="1" applyBorder="1" applyAlignment="1">
      <alignment horizontal="center" vertical="center"/>
    </xf>
    <xf numFmtId="20" fontId="45" fillId="33" borderId="114" xfId="0" applyNumberFormat="1" applyFont="1" applyFill="1" applyBorder="1" applyAlignment="1">
      <alignment horizontal="center" vertical="center"/>
    </xf>
    <xf numFmtId="0" fontId="45" fillId="0" borderId="190" xfId="0" applyFont="1" applyBorder="1"/>
    <xf numFmtId="0" fontId="45" fillId="33" borderId="77" xfId="0" applyFont="1" applyFill="1" applyBorder="1" applyAlignment="1">
      <alignment horizontal="left" vertical="center" wrapText="1"/>
    </xf>
    <xf numFmtId="0" fontId="45" fillId="33" borderId="110" xfId="0" applyFont="1" applyFill="1" applyBorder="1"/>
    <xf numFmtId="0" fontId="45" fillId="33" borderId="76" xfId="0" applyFont="1" applyFill="1" applyBorder="1" applyAlignment="1">
      <alignment horizontal="left" vertical="center" wrapText="1"/>
    </xf>
    <xf numFmtId="0" fontId="45" fillId="33" borderId="26" xfId="0" applyFont="1" applyFill="1" applyBorder="1"/>
    <xf numFmtId="0" fontId="45" fillId="33" borderId="83" xfId="0" applyFont="1" applyFill="1" applyBorder="1" applyAlignment="1">
      <alignment horizontal="left" vertical="center" wrapText="1"/>
    </xf>
    <xf numFmtId="0" fontId="39" fillId="39" borderId="99" xfId="0" applyFont="1" applyFill="1" applyBorder="1" applyAlignment="1">
      <alignment horizontal="center" vertical="center" wrapText="1"/>
    </xf>
    <xf numFmtId="0" fontId="45" fillId="33" borderId="111" xfId="0" applyFont="1" applyFill="1" applyBorder="1"/>
    <xf numFmtId="0" fontId="45" fillId="33" borderId="105" xfId="0" applyFont="1" applyFill="1" applyBorder="1"/>
    <xf numFmtId="0" fontId="45" fillId="33" borderId="96" xfId="0" applyFont="1" applyFill="1" applyBorder="1"/>
    <xf numFmtId="0" fontId="45" fillId="33" borderId="25" xfId="0" applyFont="1" applyFill="1" applyBorder="1" applyAlignment="1">
      <alignment horizontal="left" vertical="center" wrapText="1"/>
    </xf>
    <xf numFmtId="0" fontId="45" fillId="33" borderId="67" xfId="0" applyFont="1" applyFill="1" applyBorder="1" applyAlignment="1">
      <alignment horizontal="left" vertical="center" wrapText="1"/>
    </xf>
    <xf numFmtId="0" fontId="45" fillId="33" borderId="109" xfId="0" applyFont="1" applyFill="1" applyBorder="1" applyAlignment="1">
      <alignment horizontal="left" vertical="center" wrapText="1"/>
    </xf>
    <xf numFmtId="0" fontId="39" fillId="39" borderId="87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30" fillId="0" borderId="79" xfId="0" applyFont="1" applyBorder="1"/>
    <xf numFmtId="0" fontId="45" fillId="0" borderId="76" xfId="0" applyFont="1" applyBorder="1"/>
    <xf numFmtId="0" fontId="45" fillId="0" borderId="77" xfId="0" applyFont="1" applyBorder="1"/>
    <xf numFmtId="0" fontId="0" fillId="0" borderId="192" xfId="0" applyBorder="1"/>
    <xf numFmtId="0" fontId="45" fillId="39" borderId="85" xfId="0" applyFont="1" applyFill="1" applyBorder="1" applyAlignment="1">
      <alignment horizontal="center" vertical="center"/>
    </xf>
    <xf numFmtId="0" fontId="45" fillId="39" borderId="86" xfId="0" applyFont="1" applyFill="1" applyBorder="1" applyAlignment="1">
      <alignment horizontal="center" vertical="center"/>
    </xf>
    <xf numFmtId="0" fontId="45" fillId="39" borderId="87" xfId="0" applyFont="1" applyFill="1" applyBorder="1" applyAlignment="1">
      <alignment horizontal="center" vertical="center"/>
    </xf>
    <xf numFmtId="0" fontId="45" fillId="0" borderId="73" xfId="0" applyFont="1" applyBorder="1"/>
    <xf numFmtId="0" fontId="45" fillId="0" borderId="193" xfId="0" applyFont="1" applyBorder="1"/>
    <xf numFmtId="0" fontId="45" fillId="0" borderId="149" xfId="0" applyFont="1" applyBorder="1"/>
    <xf numFmtId="0" fontId="45" fillId="0" borderId="80" xfId="0" applyFont="1" applyBorder="1"/>
    <xf numFmtId="0" fontId="45" fillId="0" borderId="148" xfId="0" applyFont="1" applyBorder="1"/>
    <xf numFmtId="0" fontId="45" fillId="0" borderId="84" xfId="0" applyFont="1" applyBorder="1"/>
    <xf numFmtId="20" fontId="45" fillId="33" borderId="98" xfId="0" applyNumberFormat="1" applyFont="1" applyFill="1" applyBorder="1" applyAlignment="1">
      <alignment horizontal="center" vertical="center"/>
    </xf>
    <xf numFmtId="20" fontId="45" fillId="33" borderId="48" xfId="0" applyNumberFormat="1" applyFont="1" applyFill="1" applyBorder="1" applyAlignment="1">
      <alignment horizontal="center" vertical="center"/>
    </xf>
    <xf numFmtId="20" fontId="45" fillId="33" borderId="111" xfId="0" applyNumberFormat="1" applyFont="1" applyFill="1" applyBorder="1" applyAlignment="1">
      <alignment horizontal="center" vertical="center"/>
    </xf>
    <xf numFmtId="20" fontId="45" fillId="33" borderId="102" xfId="0" applyNumberFormat="1" applyFont="1" applyFill="1" applyBorder="1" applyAlignment="1">
      <alignment horizontal="center" vertical="center"/>
    </xf>
    <xf numFmtId="0" fontId="45" fillId="33" borderId="147" xfId="0" applyFont="1" applyFill="1" applyBorder="1"/>
    <xf numFmtId="0" fontId="45" fillId="33" borderId="83" xfId="0" applyFont="1" applyFill="1" applyBorder="1"/>
    <xf numFmtId="0" fontId="45" fillId="33" borderId="76" xfId="0" applyFont="1" applyFill="1" applyBorder="1"/>
    <xf numFmtId="0" fontId="45" fillId="33" borderId="81" xfId="0" applyFont="1" applyFill="1" applyBorder="1"/>
    <xf numFmtId="20" fontId="45" fillId="33" borderId="97" xfId="0" applyNumberFormat="1" applyFont="1" applyFill="1" applyBorder="1" applyAlignment="1">
      <alignment horizontal="center" vertical="center"/>
    </xf>
    <xf numFmtId="0" fontId="45" fillId="39" borderId="92" xfId="0" applyFont="1" applyFill="1" applyBorder="1" applyAlignment="1">
      <alignment horizontal="center"/>
    </xf>
    <xf numFmtId="0" fontId="45" fillId="39" borderId="99" xfId="0" applyFont="1" applyFill="1" applyBorder="1" applyAlignment="1">
      <alignment horizontal="center"/>
    </xf>
    <xf numFmtId="0" fontId="45" fillId="39" borderId="86" xfId="0" applyFont="1" applyFill="1" applyBorder="1" applyAlignment="1">
      <alignment horizontal="center"/>
    </xf>
    <xf numFmtId="0" fontId="45" fillId="39" borderId="85" xfId="0" applyFont="1" applyFill="1" applyBorder="1" applyAlignment="1">
      <alignment horizontal="center"/>
    </xf>
    <xf numFmtId="0" fontId="45" fillId="39" borderId="87" xfId="0" applyFont="1" applyFill="1" applyBorder="1" applyAlignment="1">
      <alignment horizontal="center"/>
    </xf>
    <xf numFmtId="0" fontId="45" fillId="33" borderId="156" xfId="0" applyFont="1" applyFill="1" applyBorder="1"/>
    <xf numFmtId="0" fontId="45" fillId="33" borderId="164" xfId="0" applyFont="1" applyFill="1" applyBorder="1"/>
    <xf numFmtId="0" fontId="45" fillId="33" borderId="95" xfId="0" applyFont="1" applyFill="1" applyBorder="1"/>
    <xf numFmtId="172" fontId="0" fillId="33" borderId="0" xfId="1094" applyNumberFormat="1" applyFont="1" applyFill="1" applyBorder="1" applyAlignment="1">
      <alignment horizontal="center" vertical="center"/>
    </xf>
    <xf numFmtId="0" fontId="0" fillId="40" borderId="0" xfId="0" applyFont="1" applyFill="1" applyBorder="1" applyAlignment="1">
      <alignment horizontal="center" vertical="center"/>
    </xf>
    <xf numFmtId="0" fontId="39" fillId="34" borderId="70" xfId="0" applyFont="1" applyFill="1" applyBorder="1" applyAlignment="1">
      <alignment horizontal="center" vertical="center"/>
    </xf>
    <xf numFmtId="0" fontId="45" fillId="40" borderId="126" xfId="0" applyFont="1" applyFill="1" applyBorder="1" applyAlignment="1">
      <alignment horizontal="center" vertical="center"/>
    </xf>
    <xf numFmtId="0" fontId="45" fillId="40" borderId="127" xfId="0" applyFont="1" applyFill="1" applyBorder="1" applyAlignment="1">
      <alignment horizontal="center" vertical="center"/>
    </xf>
    <xf numFmtId="172" fontId="45" fillId="33" borderId="96" xfId="1094" applyNumberFormat="1" applyFont="1" applyFill="1" applyBorder="1" applyAlignment="1">
      <alignment horizontal="center" vertical="center"/>
    </xf>
    <xf numFmtId="173" fontId="45" fillId="0" borderId="103" xfId="1077" applyNumberFormat="1" applyFont="1" applyBorder="1" applyAlignment="1">
      <alignment horizontal="center" vertical="center"/>
    </xf>
    <xf numFmtId="172" fontId="45" fillId="33" borderId="103" xfId="1094" applyNumberFormat="1" applyFont="1" applyFill="1" applyBorder="1" applyAlignment="1">
      <alignment horizontal="center" vertical="center"/>
    </xf>
    <xf numFmtId="0" fontId="45" fillId="40" borderId="146" xfId="0" applyFont="1" applyFill="1" applyBorder="1" applyAlignment="1">
      <alignment horizontal="center" vertical="center"/>
    </xf>
    <xf numFmtId="172" fontId="45" fillId="33" borderId="156" xfId="1094" applyNumberFormat="1" applyFont="1" applyFill="1" applyBorder="1" applyAlignment="1">
      <alignment horizontal="center" vertical="center"/>
    </xf>
    <xf numFmtId="172" fontId="45" fillId="33" borderId="98" xfId="1094" applyNumberFormat="1" applyFont="1" applyFill="1" applyBorder="1" applyAlignment="1">
      <alignment horizontal="center" vertical="center"/>
    </xf>
    <xf numFmtId="172" fontId="45" fillId="33" borderId="48" xfId="1094" applyNumberFormat="1" applyFont="1" applyFill="1" applyBorder="1" applyAlignment="1">
      <alignment horizontal="center" vertical="center"/>
    </xf>
    <xf numFmtId="172" fontId="45" fillId="33" borderId="104" xfId="1094" applyNumberFormat="1" applyFont="1" applyFill="1" applyBorder="1" applyAlignment="1">
      <alignment horizontal="center" vertical="center"/>
    </xf>
    <xf numFmtId="0" fontId="51" fillId="0" borderId="80" xfId="0" applyFont="1" applyBorder="1" applyAlignment="1">
      <alignment horizontal="center" vertical="center"/>
    </xf>
    <xf numFmtId="0" fontId="45" fillId="0" borderId="95" xfId="1077" applyNumberFormat="1" applyFont="1" applyBorder="1" applyAlignment="1">
      <alignment horizontal="center" vertical="center"/>
    </xf>
    <xf numFmtId="0" fontId="58" fillId="33" borderId="76" xfId="0" applyFont="1" applyFill="1" applyBorder="1" applyAlignment="1">
      <alignment horizontal="center" vertical="center" wrapText="1" readingOrder="1"/>
    </xf>
    <xf numFmtId="0" fontId="57" fillId="33" borderId="85" xfId="0" applyFont="1" applyFill="1" applyBorder="1" applyAlignment="1">
      <alignment horizontal="center" vertical="center" wrapText="1" readingOrder="1"/>
    </xf>
    <xf numFmtId="0" fontId="45" fillId="33" borderId="87" xfId="0" applyFont="1" applyFill="1" applyBorder="1" applyAlignment="1">
      <alignment horizontal="center" vertical="center"/>
    </xf>
    <xf numFmtId="0" fontId="40" fillId="36" borderId="73" xfId="0" applyFont="1" applyFill="1" applyBorder="1" applyAlignment="1">
      <alignment horizontal="center" vertical="center"/>
    </xf>
    <xf numFmtId="0" fontId="56" fillId="34" borderId="71" xfId="0" applyFont="1" applyFill="1" applyBorder="1" applyAlignment="1">
      <alignment horizontal="center" vertical="center" wrapText="1" readingOrder="1"/>
    </xf>
    <xf numFmtId="0" fontId="40" fillId="36" borderId="93" xfId="0" applyFont="1" applyFill="1" applyBorder="1" applyAlignment="1">
      <alignment horizontal="center" vertical="center"/>
    </xf>
    <xf numFmtId="0" fontId="40" fillId="36" borderId="100" xfId="0" applyFont="1" applyFill="1" applyBorder="1" applyAlignment="1">
      <alignment horizontal="center" vertical="center"/>
    </xf>
    <xf numFmtId="0" fontId="45" fillId="33" borderId="99" xfId="0" applyFont="1" applyFill="1" applyBorder="1" applyAlignment="1">
      <alignment horizontal="center" vertical="center"/>
    </xf>
    <xf numFmtId="0" fontId="58" fillId="33" borderId="74" xfId="0" applyFont="1" applyFill="1" applyBorder="1" applyAlignment="1">
      <alignment horizontal="center" vertical="center" wrapText="1" readingOrder="1"/>
    </xf>
    <xf numFmtId="0" fontId="45" fillId="33" borderId="75" xfId="0" applyFont="1" applyFill="1" applyBorder="1"/>
    <xf numFmtId="0" fontId="58" fillId="33" borderId="149" xfId="0" applyFont="1" applyFill="1" applyBorder="1" applyAlignment="1">
      <alignment horizontal="center" vertical="center" wrapText="1" readingOrder="1"/>
    </xf>
    <xf numFmtId="0" fontId="58" fillId="33" borderId="80" xfId="0" applyFont="1" applyFill="1" applyBorder="1" applyAlignment="1">
      <alignment horizontal="center" vertical="center" wrapText="1" readingOrder="1"/>
    </xf>
    <xf numFmtId="0" fontId="45" fillId="33" borderId="165" xfId="0" applyFont="1" applyFill="1" applyBorder="1"/>
    <xf numFmtId="0" fontId="45" fillId="33" borderId="168" xfId="0" applyFont="1" applyFill="1" applyBorder="1"/>
    <xf numFmtId="0" fontId="38" fillId="33" borderId="76" xfId="0" applyFont="1" applyFill="1" applyBorder="1" applyAlignment="1">
      <alignment horizontal="center" vertical="center"/>
    </xf>
    <xf numFmtId="0" fontId="51" fillId="33" borderId="42" xfId="0" applyFont="1" applyFill="1" applyBorder="1" applyAlignment="1">
      <alignment horizontal="center" vertical="center"/>
    </xf>
    <xf numFmtId="0" fontId="40" fillId="36" borderId="87" xfId="0" applyFont="1" applyFill="1" applyBorder="1" applyAlignment="1">
      <alignment horizontal="center" vertical="center"/>
    </xf>
    <xf numFmtId="0" fontId="38" fillId="33" borderId="193" xfId="0" applyFont="1" applyFill="1" applyBorder="1" applyAlignment="1">
      <alignment horizontal="center" vertical="center"/>
    </xf>
    <xf numFmtId="0" fontId="38" fillId="33" borderId="80" xfId="0" applyFont="1" applyFill="1" applyBorder="1" applyAlignment="1">
      <alignment horizontal="center" vertical="center"/>
    </xf>
    <xf numFmtId="0" fontId="51" fillId="33" borderId="82" xfId="0" applyFont="1" applyFill="1" applyBorder="1" applyAlignment="1">
      <alignment horizontal="center" vertical="center"/>
    </xf>
    <xf numFmtId="0" fontId="51" fillId="33" borderId="84" xfId="0" applyFont="1" applyFill="1" applyBorder="1" applyAlignment="1">
      <alignment horizontal="center" vertical="center"/>
    </xf>
    <xf numFmtId="0" fontId="40" fillId="36" borderId="92" xfId="0" applyFont="1" applyFill="1" applyBorder="1" applyAlignment="1">
      <alignment horizontal="center" vertical="center"/>
    </xf>
    <xf numFmtId="0" fontId="51" fillId="33" borderId="156" xfId="0" applyFont="1" applyFill="1" applyBorder="1" applyAlignment="1">
      <alignment horizontal="center" vertical="center"/>
    </xf>
    <xf numFmtId="0" fontId="51" fillId="33" borderId="105" xfId="0" applyFont="1" applyFill="1" applyBorder="1" applyAlignment="1">
      <alignment horizontal="center" vertical="center"/>
    </xf>
    <xf numFmtId="0" fontId="51" fillId="33" borderId="104" xfId="0" applyFont="1" applyFill="1" applyBorder="1" applyAlignment="1">
      <alignment horizontal="center" vertical="center"/>
    </xf>
    <xf numFmtId="0" fontId="51" fillId="33" borderId="95" xfId="0" applyFont="1" applyFill="1" applyBorder="1" applyAlignment="1">
      <alignment horizontal="center" vertical="center"/>
    </xf>
    <xf numFmtId="0" fontId="51" fillId="33" borderId="92" xfId="0" applyFont="1" applyFill="1" applyBorder="1" applyAlignment="1">
      <alignment horizontal="center" vertical="center"/>
    </xf>
    <xf numFmtId="0" fontId="40" fillId="36" borderId="99" xfId="0" applyFont="1" applyFill="1" applyBorder="1" applyAlignment="1">
      <alignment horizontal="center" vertical="center"/>
    </xf>
    <xf numFmtId="0" fontId="51" fillId="33" borderId="111" xfId="0" applyFont="1" applyFill="1" applyBorder="1" applyAlignment="1">
      <alignment horizontal="center" vertical="center"/>
    </xf>
    <xf numFmtId="0" fontId="51" fillId="33" borderId="97" xfId="0" applyFont="1" applyFill="1" applyBorder="1" applyAlignment="1">
      <alignment horizontal="center" vertical="center"/>
    </xf>
    <xf numFmtId="0" fontId="51" fillId="33" borderId="102" xfId="0" applyFont="1" applyFill="1" applyBorder="1" applyAlignment="1">
      <alignment horizontal="center" vertical="center"/>
    </xf>
    <xf numFmtId="0" fontId="51" fillId="33" borderId="99" xfId="0" applyFont="1" applyFill="1" applyBorder="1" applyAlignment="1">
      <alignment horizontal="center" vertical="center"/>
    </xf>
    <xf numFmtId="0" fontId="51" fillId="33" borderId="118" xfId="0" applyFont="1" applyFill="1" applyBorder="1" applyAlignment="1">
      <alignment horizontal="center" vertical="center"/>
    </xf>
    <xf numFmtId="0" fontId="0" fillId="0" borderId="77" xfId="0" applyBorder="1"/>
    <xf numFmtId="0" fontId="12" fillId="33" borderId="85" xfId="0" applyFont="1" applyFill="1" applyBorder="1" applyAlignment="1">
      <alignment vertical="center"/>
    </xf>
    <xf numFmtId="0" fontId="0" fillId="33" borderId="42" xfId="0" applyFill="1" applyBorder="1" applyAlignment="1">
      <alignment horizontal="left" indent="1"/>
    </xf>
    <xf numFmtId="0" fontId="0" fillId="33" borderId="79" xfId="0" applyFill="1" applyBorder="1" applyAlignment="1">
      <alignment horizontal="left" indent="1"/>
    </xf>
    <xf numFmtId="0" fontId="0" fillId="33" borderId="42" xfId="0" applyFill="1" applyBorder="1"/>
    <xf numFmtId="0" fontId="0" fillId="33" borderId="68" xfId="0" applyFill="1" applyBorder="1"/>
    <xf numFmtId="0" fontId="0" fillId="33" borderId="97" xfId="0" applyFill="1" applyBorder="1"/>
    <xf numFmtId="0" fontId="0" fillId="33" borderId="111" xfId="0" applyFill="1" applyBorder="1"/>
    <xf numFmtId="0" fontId="0" fillId="33" borderId="105" xfId="0" applyFill="1" applyBorder="1"/>
    <xf numFmtId="0" fontId="0" fillId="33" borderId="194" xfId="0" applyFill="1" applyBorder="1"/>
    <xf numFmtId="0" fontId="0" fillId="33" borderId="169" xfId="0" applyFill="1" applyBorder="1"/>
    <xf numFmtId="0" fontId="38" fillId="41" borderId="156" xfId="0" applyFont="1" applyFill="1" applyBorder="1" applyAlignment="1">
      <alignment horizontal="center" vertical="center"/>
    </xf>
    <xf numFmtId="0" fontId="38" fillId="41" borderId="148" xfId="0" applyFont="1" applyFill="1" applyBorder="1" applyAlignment="1">
      <alignment horizontal="center" vertical="center"/>
    </xf>
    <xf numFmtId="0" fontId="38" fillId="41" borderId="98" xfId="0" applyFont="1" applyFill="1" applyBorder="1" applyAlignment="1">
      <alignment horizontal="center" vertical="center"/>
    </xf>
    <xf numFmtId="0" fontId="38" fillId="41" borderId="167" xfId="0" applyFont="1" applyFill="1" applyBorder="1" applyAlignment="1">
      <alignment horizontal="center" vertical="center"/>
    </xf>
    <xf numFmtId="0" fontId="38" fillId="41" borderId="147" xfId="0" applyFont="1" applyFill="1" applyBorder="1" applyAlignment="1">
      <alignment horizontal="center" vertical="center"/>
    </xf>
    <xf numFmtId="0" fontId="38" fillId="41" borderId="116" xfId="0" applyFont="1" applyFill="1" applyBorder="1" applyAlignment="1">
      <alignment horizontal="center" vertical="center"/>
    </xf>
    <xf numFmtId="0" fontId="38" fillId="33" borderId="86" xfId="0" applyFont="1" applyFill="1" applyBorder="1" applyAlignment="1">
      <alignment horizontal="left" indent="1"/>
    </xf>
    <xf numFmtId="0" fontId="38" fillId="33" borderId="79" xfId="0" applyFont="1" applyFill="1" applyBorder="1" applyAlignment="1">
      <alignment horizontal="left" indent="1"/>
    </xf>
    <xf numFmtId="0" fontId="30" fillId="33" borderId="73" xfId="0" applyFont="1" applyFill="1" applyBorder="1" applyAlignment="1">
      <alignment horizontal="left" indent="1"/>
    </xf>
    <xf numFmtId="0" fontId="30" fillId="33" borderId="42" xfId="0" applyFont="1" applyFill="1" applyBorder="1" applyAlignment="1">
      <alignment horizontal="left" indent="1"/>
    </xf>
    <xf numFmtId="0" fontId="38" fillId="33" borderId="0" xfId="0" applyFont="1" applyFill="1" applyBorder="1" applyAlignment="1">
      <alignment horizontal="left" indent="1"/>
    </xf>
    <xf numFmtId="0" fontId="51" fillId="42" borderId="42" xfId="0" applyFont="1" applyFill="1" applyBorder="1" applyAlignment="1">
      <alignment horizontal="center" vertical="center"/>
    </xf>
    <xf numFmtId="0" fontId="51" fillId="42" borderId="68" xfId="0" applyFont="1" applyFill="1" applyBorder="1" applyAlignment="1">
      <alignment horizontal="center" vertical="center"/>
    </xf>
    <xf numFmtId="0" fontId="51" fillId="42" borderId="97" xfId="0" applyFont="1" applyFill="1" applyBorder="1" applyAlignment="1">
      <alignment horizontal="center" vertical="center"/>
    </xf>
    <xf numFmtId="0" fontId="51" fillId="42" borderId="111" xfId="0" applyFont="1" applyFill="1" applyBorder="1" applyAlignment="1">
      <alignment horizontal="center" vertical="center"/>
    </xf>
    <xf numFmtId="0" fontId="30" fillId="33" borderId="71" xfId="0" applyFont="1" applyFill="1" applyBorder="1" applyAlignment="1">
      <alignment horizontal="left" indent="1"/>
    </xf>
    <xf numFmtId="0" fontId="45" fillId="33" borderId="100" xfId="0" applyFont="1" applyFill="1" applyBorder="1"/>
    <xf numFmtId="0" fontId="45" fillId="33" borderId="89" xfId="0" applyFont="1" applyFill="1" applyBorder="1"/>
    <xf numFmtId="0" fontId="45" fillId="33" borderId="73" xfId="0" applyFont="1" applyFill="1" applyBorder="1"/>
    <xf numFmtId="0" fontId="45" fillId="33" borderId="195" xfId="0" applyFont="1" applyFill="1" applyBorder="1"/>
    <xf numFmtId="0" fontId="45" fillId="0" borderId="85" xfId="0" applyFont="1" applyBorder="1"/>
    <xf numFmtId="0" fontId="39" fillId="33" borderId="86" xfId="0" applyFont="1" applyFill="1" applyBorder="1" applyAlignment="1">
      <alignment horizontal="left" indent="1"/>
    </xf>
    <xf numFmtId="0" fontId="45" fillId="33" borderId="163" xfId="0" applyFont="1" applyFill="1" applyBorder="1"/>
    <xf numFmtId="0" fontId="51" fillId="42" borderId="196" xfId="0" applyFont="1" applyFill="1" applyBorder="1" applyAlignment="1">
      <alignment horizontal="center" vertical="center"/>
    </xf>
    <xf numFmtId="0" fontId="30" fillId="33" borderId="125" xfId="0" applyFont="1" applyFill="1" applyBorder="1" applyAlignment="1">
      <alignment horizontal="left" indent="1"/>
    </xf>
    <xf numFmtId="0" fontId="30" fillId="33" borderId="126" xfId="0" applyFont="1" applyFill="1" applyBorder="1" applyAlignment="1">
      <alignment horizontal="left" indent="1"/>
    </xf>
    <xf numFmtId="0" fontId="30" fillId="33" borderId="127" xfId="0" applyFont="1" applyFill="1" applyBorder="1" applyAlignment="1">
      <alignment horizontal="left" indent="1"/>
    </xf>
    <xf numFmtId="0" fontId="30" fillId="33" borderId="31" xfId="0" applyFont="1" applyFill="1" applyBorder="1"/>
    <xf numFmtId="0" fontId="45" fillId="33" borderId="31" xfId="0" applyFont="1" applyFill="1" applyBorder="1"/>
    <xf numFmtId="0" fontId="45" fillId="33" borderId="199" xfId="0" applyFont="1" applyFill="1" applyBorder="1"/>
    <xf numFmtId="0" fontId="45" fillId="33" borderId="200" xfId="0" applyFont="1" applyFill="1" applyBorder="1"/>
    <xf numFmtId="0" fontId="45" fillId="33" borderId="202" xfId="0" applyFont="1" applyFill="1" applyBorder="1"/>
    <xf numFmtId="0" fontId="38" fillId="0" borderId="85" xfId="0" applyFont="1" applyBorder="1" applyAlignment="1">
      <alignment horizontal="center" vertical="center"/>
    </xf>
    <xf numFmtId="0" fontId="30" fillId="33" borderId="198" xfId="0" applyFont="1" applyFill="1" applyBorder="1" applyAlignment="1">
      <alignment horizontal="center" vertical="center"/>
    </xf>
    <xf numFmtId="0" fontId="30" fillId="33" borderId="197" xfId="0" applyFont="1" applyFill="1" applyBorder="1" applyAlignment="1">
      <alignment horizontal="center"/>
    </xf>
    <xf numFmtId="0" fontId="30" fillId="33" borderId="201" xfId="0" applyFont="1" applyFill="1" applyBorder="1" applyAlignment="1">
      <alignment horizontal="center"/>
    </xf>
    <xf numFmtId="0" fontId="45" fillId="33" borderId="198" xfId="0" applyFont="1" applyFill="1" applyBorder="1"/>
    <xf numFmtId="0" fontId="45" fillId="33" borderId="197" xfId="0" applyFont="1" applyFill="1" applyBorder="1"/>
    <xf numFmtId="0" fontId="45" fillId="33" borderId="201" xfId="0" applyFont="1" applyFill="1" applyBorder="1"/>
    <xf numFmtId="0" fontId="51" fillId="43" borderId="77" xfId="0" applyFont="1" applyFill="1" applyBorder="1" applyAlignment="1">
      <alignment horizontal="center" vertical="center"/>
    </xf>
    <xf numFmtId="0" fontId="51" fillId="43" borderId="78" xfId="0" applyFont="1" applyFill="1" applyBorder="1" applyAlignment="1">
      <alignment horizontal="center" vertical="center"/>
    </xf>
    <xf numFmtId="0" fontId="51" fillId="43" borderId="79" xfId="0" applyFont="1" applyFill="1" applyBorder="1" applyAlignment="1">
      <alignment horizontal="center" vertical="center"/>
    </xf>
    <xf numFmtId="0" fontId="30" fillId="33" borderId="182" xfId="0" applyFont="1" applyFill="1" applyBorder="1"/>
    <xf numFmtId="0" fontId="30" fillId="33" borderId="204" xfId="0" applyFont="1" applyFill="1" applyBorder="1" applyAlignment="1">
      <alignment horizontal="center"/>
    </xf>
    <xf numFmtId="0" fontId="30" fillId="37" borderId="204" xfId="0" applyFont="1" applyFill="1" applyBorder="1" applyAlignment="1">
      <alignment horizontal="center"/>
    </xf>
    <xf numFmtId="0" fontId="30" fillId="33" borderId="197" xfId="0" applyFont="1" applyFill="1" applyBorder="1"/>
    <xf numFmtId="0" fontId="30" fillId="33" borderId="205" xfId="0" applyFont="1" applyFill="1" applyBorder="1" applyAlignment="1">
      <alignment horizontal="center"/>
    </xf>
    <xf numFmtId="0" fontId="30" fillId="33" borderId="202" xfId="0" applyFont="1" applyFill="1" applyBorder="1"/>
    <xf numFmtId="0" fontId="30" fillId="33" borderId="201" xfId="0" applyFont="1" applyFill="1" applyBorder="1"/>
    <xf numFmtId="0" fontId="30" fillId="33" borderId="203" xfId="0" applyFont="1" applyFill="1" applyBorder="1"/>
    <xf numFmtId="0" fontId="39" fillId="33" borderId="70" xfId="0" applyFont="1" applyFill="1" applyBorder="1" applyAlignment="1">
      <alignment horizontal="center" vertical="center"/>
    </xf>
    <xf numFmtId="0" fontId="30" fillId="37" borderId="206" xfId="0" applyFont="1" applyFill="1" applyBorder="1" applyAlignment="1">
      <alignment horizontal="center"/>
    </xf>
    <xf numFmtId="0" fontId="30" fillId="33" borderId="199" xfId="0" applyFont="1" applyFill="1" applyBorder="1"/>
    <xf numFmtId="0" fontId="30" fillId="33" borderId="198" xfId="0" applyFont="1" applyFill="1" applyBorder="1"/>
    <xf numFmtId="0" fontId="30" fillId="33" borderId="200" xfId="0" applyFont="1" applyFill="1" applyBorder="1"/>
    <xf numFmtId="0" fontId="30" fillId="0" borderId="207" xfId="0" applyFont="1" applyBorder="1"/>
    <xf numFmtId="0" fontId="40" fillId="34" borderId="87" xfId="0" applyFont="1" applyFill="1" applyBorder="1" applyAlignment="1">
      <alignment horizontal="center" vertical="center"/>
    </xf>
    <xf numFmtId="0" fontId="45" fillId="33" borderId="93" xfId="0" applyFont="1" applyFill="1" applyBorder="1"/>
    <xf numFmtId="0" fontId="51" fillId="42" borderId="170" xfId="0" applyFont="1" applyFill="1" applyBorder="1" applyAlignment="1">
      <alignment horizontal="center" vertical="center"/>
    </xf>
    <xf numFmtId="0" fontId="30" fillId="0" borderId="210" xfId="0" applyFont="1" applyBorder="1"/>
    <xf numFmtId="0" fontId="45" fillId="43" borderId="208" xfId="0" applyFont="1" applyFill="1" applyBorder="1" applyAlignment="1">
      <alignment horizontal="center" vertical="center"/>
    </xf>
    <xf numFmtId="0" fontId="45" fillId="43" borderId="209" xfId="0" applyFont="1" applyFill="1" applyBorder="1" applyAlignment="1">
      <alignment horizontal="center" vertical="center"/>
    </xf>
    <xf numFmtId="0" fontId="45" fillId="43" borderId="178" xfId="0" applyFont="1" applyFill="1" applyBorder="1" applyAlignment="1">
      <alignment horizontal="center" vertical="center"/>
    </xf>
    <xf numFmtId="170" fontId="45" fillId="38" borderId="37" xfId="994" applyNumberFormat="1" applyFont="1" applyFill="1" applyBorder="1" applyAlignment="1">
      <alignment horizontal="center"/>
    </xf>
    <xf numFmtId="170" fontId="45" fillId="38" borderId="42" xfId="994" applyNumberFormat="1" applyFont="1" applyFill="1" applyBorder="1" applyAlignment="1">
      <alignment horizontal="center"/>
    </xf>
    <xf numFmtId="0" fontId="39" fillId="0" borderId="70" xfId="0" applyFont="1" applyBorder="1" applyAlignment="1">
      <alignment horizontal="center" vertical="center"/>
    </xf>
    <xf numFmtId="170" fontId="45" fillId="38" borderId="211" xfId="994" applyNumberFormat="1" applyFont="1" applyFill="1" applyBorder="1" applyAlignment="1">
      <alignment horizontal="center"/>
    </xf>
    <xf numFmtId="0" fontId="59" fillId="0" borderId="0" xfId="0" applyFont="1"/>
    <xf numFmtId="0" fontId="45" fillId="0" borderId="146" xfId="0" applyFont="1" applyBorder="1"/>
    <xf numFmtId="0" fontId="40" fillId="34" borderId="118" xfId="0" applyFont="1" applyFill="1" applyBorder="1" applyAlignment="1">
      <alignment horizontal="center" vertical="center"/>
    </xf>
    <xf numFmtId="0" fontId="40" fillId="34" borderId="125" xfId="0" applyFont="1" applyFill="1" applyBorder="1" applyAlignment="1">
      <alignment horizontal="center" vertical="center"/>
    </xf>
    <xf numFmtId="0" fontId="45" fillId="33" borderId="69" xfId="0" applyFont="1" applyFill="1" applyBorder="1" applyAlignment="1">
      <alignment horizontal="center" vertical="center"/>
    </xf>
    <xf numFmtId="0" fontId="45" fillId="33" borderId="91" xfId="0" applyFont="1" applyFill="1" applyBorder="1" applyAlignment="1">
      <alignment horizontal="center" vertical="center"/>
    </xf>
    <xf numFmtId="170" fontId="45" fillId="33" borderId="51" xfId="1094" applyNumberFormat="1" applyFont="1" applyFill="1" applyBorder="1" applyAlignment="1">
      <alignment horizontal="center" vertical="center"/>
    </xf>
    <xf numFmtId="170" fontId="45" fillId="33" borderId="49" xfId="1094" applyNumberFormat="1" applyFont="1" applyFill="1" applyBorder="1" applyAlignment="1">
      <alignment horizontal="center" vertical="center"/>
    </xf>
    <xf numFmtId="170" fontId="45" fillId="33" borderId="22" xfId="1094" applyNumberFormat="1" applyFont="1" applyFill="1" applyBorder="1" applyAlignment="1">
      <alignment horizontal="center" vertical="center"/>
    </xf>
    <xf numFmtId="9" fontId="39" fillId="33" borderId="59" xfId="1" applyFont="1" applyFill="1" applyBorder="1" applyAlignment="1">
      <alignment horizontal="center" vertical="center"/>
    </xf>
    <xf numFmtId="9" fontId="39" fillId="33" borderId="61" xfId="1" applyFont="1" applyFill="1" applyBorder="1" applyAlignment="1">
      <alignment horizontal="center" vertical="center"/>
    </xf>
    <xf numFmtId="9" fontId="39" fillId="33" borderId="63" xfId="1" applyFont="1" applyFill="1" applyBorder="1" applyAlignment="1">
      <alignment horizontal="center" vertical="center"/>
    </xf>
    <xf numFmtId="9" fontId="39" fillId="33" borderId="65" xfId="1" applyFont="1" applyFill="1" applyBorder="1" applyAlignment="1">
      <alignment horizontal="center" vertical="center"/>
    </xf>
    <xf numFmtId="9" fontId="38" fillId="38" borderId="146" xfId="1" applyFont="1" applyFill="1" applyBorder="1" applyAlignment="1">
      <alignment horizontal="center" vertical="center"/>
    </xf>
    <xf numFmtId="9" fontId="38" fillId="38" borderId="80" xfId="1" applyFont="1" applyFill="1" applyBorder="1" applyAlignment="1">
      <alignment horizontal="center" vertical="center"/>
    </xf>
    <xf numFmtId="9" fontId="38" fillId="33" borderId="127" xfId="1" applyFont="1" applyFill="1" applyBorder="1" applyAlignment="1">
      <alignment horizontal="center" vertical="center"/>
    </xf>
    <xf numFmtId="9" fontId="38" fillId="38" borderId="125" xfId="1" applyFont="1" applyFill="1" applyBorder="1" applyAlignment="1">
      <alignment horizontal="center" vertical="center"/>
    </xf>
    <xf numFmtId="9" fontId="38" fillId="33" borderId="125" xfId="1" applyFont="1" applyFill="1" applyBorder="1" applyAlignment="1">
      <alignment horizontal="center" vertical="center"/>
    </xf>
    <xf numFmtId="9" fontId="38" fillId="33" borderId="149" xfId="1" applyFont="1" applyFill="1" applyBorder="1" applyAlignment="1">
      <alignment horizontal="center" vertical="center"/>
    </xf>
    <xf numFmtId="9" fontId="38" fillId="38" borderId="158" xfId="1" applyFont="1" applyFill="1" applyBorder="1" applyAlignment="1">
      <alignment horizontal="center" vertical="center"/>
    </xf>
    <xf numFmtId="9" fontId="38" fillId="33" borderId="70" xfId="1" applyFont="1" applyFill="1" applyBorder="1" applyAlignment="1">
      <alignment horizontal="center" vertical="center"/>
    </xf>
    <xf numFmtId="9" fontId="45" fillId="35" borderId="98" xfId="1" applyFont="1" applyFill="1" applyBorder="1"/>
    <xf numFmtId="9" fontId="45" fillId="33" borderId="48" xfId="1" applyFont="1" applyFill="1" applyBorder="1"/>
    <xf numFmtId="9" fontId="45" fillId="35" borderId="111" xfId="1" applyFont="1" applyFill="1" applyBorder="1"/>
    <xf numFmtId="9" fontId="45" fillId="33" borderId="102" xfId="1" applyFont="1" applyFill="1" applyBorder="1"/>
    <xf numFmtId="9" fontId="45" fillId="33" borderId="100" xfId="1" applyFont="1" applyFill="1" applyBorder="1" applyAlignment="1">
      <alignment horizontal="center" vertical="center"/>
    </xf>
    <xf numFmtId="0" fontId="45" fillId="35" borderId="120" xfId="0" applyFont="1" applyFill="1" applyBorder="1" applyAlignment="1">
      <alignment horizontal="center" vertical="center"/>
    </xf>
    <xf numFmtId="0" fontId="45" fillId="35" borderId="122" xfId="0" applyFont="1" applyFill="1" applyBorder="1" applyAlignment="1">
      <alignment horizontal="center" vertical="center"/>
    </xf>
    <xf numFmtId="9" fontId="45" fillId="0" borderId="212" xfId="1" applyFont="1" applyBorder="1" applyAlignment="1">
      <alignment horizontal="center" vertical="center"/>
    </xf>
    <xf numFmtId="9" fontId="45" fillId="0" borderId="168" xfId="1" applyFont="1" applyBorder="1" applyAlignment="1">
      <alignment horizontal="center" vertical="center"/>
    </xf>
    <xf numFmtId="170" fontId="45" fillId="0" borderId="148" xfId="1094" applyNumberFormat="1" applyFont="1" applyBorder="1"/>
    <xf numFmtId="170" fontId="45" fillId="0" borderId="167" xfId="1094" applyNumberFormat="1" applyFont="1" applyBorder="1"/>
    <xf numFmtId="170" fontId="45" fillId="0" borderId="75" xfId="1094" applyNumberFormat="1" applyFont="1" applyBorder="1"/>
    <xf numFmtId="170" fontId="45" fillId="0" borderId="50" xfId="1094" applyNumberFormat="1" applyFont="1" applyBorder="1"/>
    <xf numFmtId="170" fontId="45" fillId="0" borderId="165" xfId="1094" applyNumberFormat="1" applyFont="1" applyBorder="1"/>
    <xf numFmtId="9" fontId="45" fillId="0" borderId="190" xfId="1" applyFont="1" applyBorder="1" applyAlignment="1">
      <alignment horizontal="center" vertical="center"/>
    </xf>
    <xf numFmtId="170" fontId="45" fillId="0" borderId="149" xfId="1094" applyNumberFormat="1" applyFont="1" applyBorder="1"/>
    <xf numFmtId="0" fontId="39" fillId="33" borderId="86" xfId="0" applyFont="1" applyFill="1" applyBorder="1" applyAlignment="1">
      <alignment horizontal="center" vertical="center"/>
    </xf>
    <xf numFmtId="0" fontId="39" fillId="33" borderId="113" xfId="0" applyFont="1" applyFill="1" applyBorder="1" applyAlignment="1">
      <alignment horizontal="center" vertical="center"/>
    </xf>
    <xf numFmtId="0" fontId="45" fillId="33" borderId="215" xfId="0" applyFont="1" applyFill="1" applyBorder="1"/>
    <xf numFmtId="0" fontId="45" fillId="33" borderId="216" xfId="0" applyFont="1" applyFill="1" applyBorder="1"/>
    <xf numFmtId="0" fontId="0" fillId="0" borderId="220" xfId="0" applyBorder="1"/>
    <xf numFmtId="0" fontId="0" fillId="0" borderId="222" xfId="0" applyBorder="1"/>
    <xf numFmtId="0" fontId="0" fillId="0" borderId="223" xfId="0" applyBorder="1"/>
    <xf numFmtId="0" fontId="0" fillId="0" borderId="222" xfId="0" applyBorder="1" applyAlignment="1">
      <alignment horizontal="center" vertical="center"/>
    </xf>
    <xf numFmtId="0" fontId="0" fillId="0" borderId="221" xfId="0" applyBorder="1" applyAlignment="1">
      <alignment horizontal="center" vertical="center"/>
    </xf>
    <xf numFmtId="0" fontId="0" fillId="0" borderId="224" xfId="0" applyBorder="1" applyAlignment="1">
      <alignment horizontal="center" vertical="center"/>
    </xf>
    <xf numFmtId="0" fontId="0" fillId="0" borderId="225" xfId="0" applyBorder="1" applyAlignment="1">
      <alignment horizontal="center" vertical="center"/>
    </xf>
    <xf numFmtId="0" fontId="0" fillId="0" borderId="226" xfId="0" applyBorder="1" applyAlignment="1">
      <alignment vertical="center"/>
    </xf>
    <xf numFmtId="0" fontId="0" fillId="0" borderId="228" xfId="0" applyBorder="1"/>
    <xf numFmtId="0" fontId="0" fillId="0" borderId="229" xfId="0" applyBorder="1"/>
    <xf numFmtId="0" fontId="0" fillId="0" borderId="230" xfId="0" applyBorder="1"/>
    <xf numFmtId="0" fontId="0" fillId="0" borderId="231" xfId="0" applyFill="1" applyBorder="1"/>
    <xf numFmtId="0" fontId="0" fillId="0" borderId="219" xfId="0" applyFill="1" applyBorder="1"/>
    <xf numFmtId="0" fontId="0" fillId="0" borderId="227" xfId="0" applyBorder="1"/>
    <xf numFmtId="0" fontId="0" fillId="0" borderId="233" xfId="0" applyBorder="1"/>
    <xf numFmtId="0" fontId="0" fillId="0" borderId="232" xfId="0" applyBorder="1"/>
    <xf numFmtId="0" fontId="0" fillId="0" borderId="234" xfId="0" applyFill="1" applyBorder="1"/>
    <xf numFmtId="0" fontId="0" fillId="0" borderId="235" xfId="0" applyFill="1" applyBorder="1"/>
    <xf numFmtId="0" fontId="40" fillId="34" borderId="236" xfId="0" applyFont="1" applyFill="1" applyBorder="1" applyAlignment="1">
      <alignment horizontal="center" vertical="center"/>
    </xf>
    <xf numFmtId="0" fontId="40" fillId="34" borderId="237" xfId="0" applyFont="1" applyFill="1" applyBorder="1" applyAlignment="1">
      <alignment horizontal="center" vertical="center"/>
    </xf>
    <xf numFmtId="0" fontId="0" fillId="0" borderId="238" xfId="0" applyBorder="1"/>
    <xf numFmtId="0" fontId="0" fillId="0" borderId="229" xfId="0" applyBorder="1" applyAlignment="1">
      <alignment horizontal="center" vertical="center"/>
    </xf>
    <xf numFmtId="0" fontId="0" fillId="0" borderId="227" xfId="0" applyBorder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0" xfId="0" applyFont="1" applyBorder="1" applyAlignment="1">
      <alignment vertical="center"/>
    </xf>
    <xf numFmtId="0" fontId="52" fillId="33" borderId="85" xfId="0" applyFont="1" applyFill="1" applyBorder="1" applyAlignment="1">
      <alignment horizontal="center" vertical="center"/>
    </xf>
    <xf numFmtId="0" fontId="52" fillId="33" borderId="87" xfId="0" applyFont="1" applyFill="1" applyBorder="1" applyAlignment="1">
      <alignment horizontal="center" vertical="center"/>
    </xf>
    <xf numFmtId="0" fontId="52" fillId="33" borderId="86" xfId="0" applyFont="1" applyFill="1" applyBorder="1" applyAlignment="1">
      <alignment horizontal="center" vertical="center"/>
    </xf>
    <xf numFmtId="0" fontId="40" fillId="34" borderId="42" xfId="0" applyFont="1" applyFill="1" applyBorder="1" applyAlignment="1">
      <alignment vertical="center"/>
    </xf>
    <xf numFmtId="0" fontId="40" fillId="34" borderId="43" xfId="0" applyFont="1" applyFill="1" applyBorder="1" applyAlignment="1">
      <alignment vertical="center" wrapText="1"/>
    </xf>
    <xf numFmtId="170" fontId="45" fillId="38" borderId="96" xfId="994" applyNumberFormat="1" applyFont="1" applyFill="1" applyBorder="1" applyAlignment="1">
      <alignment horizontal="center"/>
    </xf>
    <xf numFmtId="170" fontId="45" fillId="38" borderId="156" xfId="994" applyNumberFormat="1" applyFont="1" applyFill="1" applyBorder="1" applyAlignment="1">
      <alignment horizontal="center"/>
    </xf>
    <xf numFmtId="170" fontId="45" fillId="38" borderId="117" xfId="994" applyNumberFormat="1" applyFont="1" applyFill="1" applyBorder="1" applyAlignment="1">
      <alignment horizontal="center"/>
    </xf>
    <xf numFmtId="0" fontId="0" fillId="0" borderId="85" xfId="0" applyNumberFormat="1" applyBorder="1" applyAlignment="1">
      <alignment vertical="center"/>
    </xf>
    <xf numFmtId="170" fontId="0" fillId="0" borderId="87" xfId="0" applyNumberFormat="1" applyBorder="1" applyAlignment="1">
      <alignment vertical="center"/>
    </xf>
    <xf numFmtId="0" fontId="0" fillId="0" borderId="87" xfId="0" applyNumberFormat="1" applyBorder="1" applyAlignment="1">
      <alignment vertical="center"/>
    </xf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/>
    <xf numFmtId="0" fontId="30" fillId="33" borderId="0" xfId="0" applyFont="1" applyFill="1" applyBorder="1" applyAlignment="1">
      <alignment vertical="center"/>
    </xf>
    <xf numFmtId="20" fontId="45" fillId="33" borderId="187" xfId="0" applyNumberFormat="1" applyFont="1" applyFill="1" applyBorder="1" applyAlignment="1">
      <alignment vertical="center"/>
    </xf>
    <xf numFmtId="20" fontId="45" fillId="33" borderId="188" xfId="0" applyNumberFormat="1" applyFont="1" applyFill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30" fillId="0" borderId="19" xfId="0" applyFont="1" applyBorder="1" applyAlignment="1">
      <alignment vertical="center"/>
    </xf>
    <xf numFmtId="0" fontId="30" fillId="0" borderId="20" xfId="0" applyFont="1" applyBorder="1" applyAlignment="1">
      <alignment vertical="center"/>
    </xf>
    <xf numFmtId="0" fontId="50" fillId="0" borderId="12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0" fillId="0" borderId="15" xfId="0" applyFont="1" applyBorder="1" applyAlignment="1">
      <alignment horizontal="center" vertical="center" wrapText="1"/>
    </xf>
    <xf numFmtId="0" fontId="50" fillId="0" borderId="0" xfId="0" applyFont="1" applyBorder="1" applyAlignment="1">
      <alignment horizontal="center" vertical="center" wrapText="1"/>
    </xf>
    <xf numFmtId="0" fontId="50" fillId="0" borderId="16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17" xfId="0" applyFont="1" applyBorder="1" applyAlignment="1">
      <alignment horizontal="center" vertical="center" wrapText="1"/>
    </xf>
    <xf numFmtId="3" fontId="23" fillId="33" borderId="0" xfId="2" applyNumberFormat="1" applyFont="1" applyFill="1" applyBorder="1" applyAlignment="1">
      <alignment horizontal="center" vertical="center"/>
    </xf>
    <xf numFmtId="3" fontId="40" fillId="34" borderId="54" xfId="2" applyNumberFormat="1" applyFont="1" applyFill="1" applyBorder="1" applyAlignment="1">
      <alignment horizontal="center" vertical="center" wrapText="1"/>
    </xf>
    <xf numFmtId="3" fontId="40" fillId="34" borderId="55" xfId="2" applyNumberFormat="1" applyFont="1" applyFill="1" applyBorder="1" applyAlignment="1">
      <alignment horizontal="center" vertical="center" wrapText="1"/>
    </xf>
    <xf numFmtId="3" fontId="40" fillId="34" borderId="56" xfId="2" applyNumberFormat="1" applyFont="1" applyFill="1" applyBorder="1" applyAlignment="1">
      <alignment horizontal="center" vertical="center" wrapText="1"/>
    </xf>
    <xf numFmtId="3" fontId="40" fillId="34" borderId="53" xfId="2" applyNumberFormat="1" applyFont="1" applyFill="1" applyBorder="1" applyAlignment="1">
      <alignment horizontal="center" vertical="center" wrapText="1"/>
    </xf>
    <xf numFmtId="3" fontId="40" fillId="34" borderId="66" xfId="2" applyNumberFormat="1" applyFont="1" applyFill="1" applyBorder="1" applyAlignment="1">
      <alignment horizontal="center" vertical="center" wrapText="1"/>
    </xf>
    <xf numFmtId="0" fontId="43" fillId="33" borderId="77" xfId="0" applyFont="1" applyFill="1" applyBorder="1" applyAlignment="1">
      <alignment horizontal="center" vertical="center"/>
    </xf>
    <xf numFmtId="0" fontId="43" fillId="33" borderId="91" xfId="0" applyFont="1" applyFill="1" applyBorder="1" applyAlignment="1">
      <alignment horizontal="center" vertical="center"/>
    </xf>
    <xf numFmtId="0" fontId="45" fillId="35" borderId="71" xfId="0" applyFont="1" applyFill="1" applyBorder="1" applyAlignment="1">
      <alignment horizontal="center" vertical="center"/>
    </xf>
    <xf numFmtId="0" fontId="45" fillId="35" borderId="89" xfId="0" applyFont="1" applyFill="1" applyBorder="1" applyAlignment="1">
      <alignment horizontal="center" vertical="center"/>
    </xf>
    <xf numFmtId="0" fontId="45" fillId="33" borderId="74" xfId="0" applyFont="1" applyFill="1" applyBorder="1" applyAlignment="1">
      <alignment horizontal="center" vertical="center"/>
    </xf>
    <xf numFmtId="0" fontId="45" fillId="33" borderId="69" xfId="0" applyFont="1" applyFill="1" applyBorder="1" applyAlignment="1">
      <alignment horizontal="center" vertical="center"/>
    </xf>
    <xf numFmtId="0" fontId="45" fillId="35" borderId="76" xfId="0" applyFont="1" applyFill="1" applyBorder="1" applyAlignment="1">
      <alignment horizontal="center" vertical="center"/>
    </xf>
    <xf numFmtId="0" fontId="45" fillId="35" borderId="68" xfId="0" applyFont="1" applyFill="1" applyBorder="1" applyAlignment="1">
      <alignment horizontal="center" vertical="center"/>
    </xf>
    <xf numFmtId="0" fontId="45" fillId="33" borderId="77" xfId="0" applyFont="1" applyFill="1" applyBorder="1" applyAlignment="1">
      <alignment horizontal="center" vertical="center"/>
    </xf>
    <xf numFmtId="0" fontId="45" fillId="33" borderId="91" xfId="0" applyFont="1" applyFill="1" applyBorder="1" applyAlignment="1">
      <alignment horizontal="center" vertical="center"/>
    </xf>
    <xf numFmtId="0" fontId="55" fillId="34" borderId="71" xfId="0" applyFont="1" applyFill="1" applyBorder="1" applyAlignment="1">
      <alignment horizontal="center" vertical="center"/>
    </xf>
    <xf numFmtId="0" fontId="55" fillId="34" borderId="89" xfId="0" applyFont="1" applyFill="1" applyBorder="1" applyAlignment="1">
      <alignment horizontal="center" vertical="center"/>
    </xf>
    <xf numFmtId="0" fontId="55" fillId="34" borderId="85" xfId="0" applyFont="1" applyFill="1" applyBorder="1" applyAlignment="1">
      <alignment horizontal="center" vertical="center"/>
    </xf>
    <xf numFmtId="0" fontId="55" fillId="34" borderId="86" xfId="0" applyFont="1" applyFill="1" applyBorder="1" applyAlignment="1">
      <alignment horizontal="center" vertical="center"/>
    </xf>
    <xf numFmtId="0" fontId="45" fillId="0" borderId="166" xfId="0" applyFont="1" applyBorder="1" applyAlignment="1">
      <alignment horizontal="center" vertical="center" wrapText="1"/>
    </xf>
    <xf numFmtId="0" fontId="45" fillId="0" borderId="157" xfId="0" applyFont="1" applyBorder="1" applyAlignment="1">
      <alignment horizontal="center" vertical="center" wrapText="1"/>
    </xf>
    <xf numFmtId="0" fontId="39" fillId="0" borderId="85" xfId="0" applyFont="1" applyBorder="1" applyAlignment="1">
      <alignment horizontal="center" vertical="center" wrapText="1"/>
    </xf>
    <xf numFmtId="0" fontId="39" fillId="0" borderId="87" xfId="0" applyFont="1" applyBorder="1" applyAlignment="1">
      <alignment horizontal="center" vertical="center" wrapText="1"/>
    </xf>
    <xf numFmtId="0" fontId="45" fillId="33" borderId="83" xfId="0" applyFont="1" applyFill="1" applyBorder="1" applyAlignment="1">
      <alignment horizontal="center"/>
    </xf>
    <xf numFmtId="0" fontId="45" fillId="33" borderId="8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0" fillId="34" borderId="86" xfId="0" applyFont="1" applyFill="1" applyBorder="1" applyAlignment="1">
      <alignment horizontal="center" vertical="center"/>
    </xf>
    <xf numFmtId="0" fontId="40" fillId="34" borderId="87" xfId="0" applyFont="1" applyFill="1" applyBorder="1" applyAlignment="1">
      <alignment horizontal="center" vertical="center"/>
    </xf>
    <xf numFmtId="0" fontId="40" fillId="34" borderId="71" xfId="0" applyFont="1" applyFill="1" applyBorder="1" applyAlignment="1">
      <alignment horizontal="center" vertical="center"/>
    </xf>
    <xf numFmtId="0" fontId="40" fillId="34" borderId="77" xfId="0" applyFont="1" applyFill="1" applyBorder="1" applyAlignment="1">
      <alignment horizontal="center" vertical="center"/>
    </xf>
    <xf numFmtId="0" fontId="40" fillId="34" borderId="73" xfId="0" applyFont="1" applyFill="1" applyBorder="1" applyAlignment="1">
      <alignment horizontal="center" vertical="center"/>
    </xf>
    <xf numFmtId="0" fontId="40" fillId="34" borderId="79" xfId="0" applyFont="1" applyFill="1" applyBorder="1" applyAlignment="1">
      <alignment horizontal="center" vertical="center"/>
    </xf>
    <xf numFmtId="0" fontId="45" fillId="33" borderId="147" xfId="0" applyFont="1" applyFill="1" applyBorder="1" applyAlignment="1">
      <alignment horizontal="center"/>
    </xf>
    <xf numFmtId="0" fontId="45" fillId="33" borderId="117" xfId="0" applyFont="1" applyFill="1" applyBorder="1" applyAlignment="1">
      <alignment horizontal="center"/>
    </xf>
    <xf numFmtId="0" fontId="45" fillId="33" borderId="76" xfId="0" applyFont="1" applyFill="1" applyBorder="1" applyAlignment="1">
      <alignment horizontal="center"/>
    </xf>
    <xf numFmtId="0" fontId="45" fillId="33" borderId="42" xfId="0" applyFont="1" applyFill="1" applyBorder="1" applyAlignment="1">
      <alignment horizontal="center"/>
    </xf>
    <xf numFmtId="0" fontId="39" fillId="33" borderId="85" xfId="0" applyFont="1" applyFill="1" applyBorder="1" applyAlignment="1">
      <alignment horizontal="center" vertical="center"/>
    </xf>
    <xf numFmtId="0" fontId="39" fillId="33" borderId="86" xfId="0" applyFont="1" applyFill="1" applyBorder="1" applyAlignment="1">
      <alignment horizontal="center" vertical="center"/>
    </xf>
    <xf numFmtId="0" fontId="39" fillId="0" borderId="71" xfId="0" applyFont="1" applyBorder="1" applyAlignment="1">
      <alignment horizontal="center" vertical="center"/>
    </xf>
    <xf numFmtId="0" fontId="39" fillId="0" borderId="73" xfId="0" applyFont="1" applyBorder="1" applyAlignment="1">
      <alignment horizontal="center" vertical="center"/>
    </xf>
    <xf numFmtId="0" fontId="39" fillId="0" borderId="77" xfId="0" applyFont="1" applyBorder="1" applyAlignment="1">
      <alignment horizontal="center" vertical="center"/>
    </xf>
    <xf numFmtId="0" fontId="39" fillId="0" borderId="79" xfId="0" applyFont="1" applyBorder="1" applyAlignment="1">
      <alignment horizontal="center" vertical="center"/>
    </xf>
    <xf numFmtId="0" fontId="39" fillId="33" borderId="145" xfId="0" applyFont="1" applyFill="1" applyBorder="1" applyAlignment="1">
      <alignment horizontal="center" vertical="center"/>
    </xf>
    <xf numFmtId="0" fontId="39" fillId="33" borderId="24" xfId="0" applyFont="1" applyFill="1" applyBorder="1" applyAlignment="1">
      <alignment horizontal="center" vertical="center"/>
    </xf>
    <xf numFmtId="0" fontId="39" fillId="33" borderId="76" xfId="0" applyFont="1" applyFill="1" applyBorder="1" applyAlignment="1">
      <alignment horizontal="center" vertical="center"/>
    </xf>
    <xf numFmtId="0" fontId="39" fillId="33" borderId="26" xfId="0" applyFont="1" applyFill="1" applyBorder="1" applyAlignment="1">
      <alignment horizontal="center" vertical="center"/>
    </xf>
    <xf numFmtId="0" fontId="39" fillId="33" borderId="213" xfId="0" applyFont="1" applyFill="1" applyBorder="1" applyAlignment="1">
      <alignment horizontal="center" vertical="center"/>
    </xf>
    <xf numFmtId="0" fontId="39" fillId="33" borderId="214" xfId="0" applyFont="1" applyFill="1" applyBorder="1" applyAlignment="1">
      <alignment horizontal="center" vertical="center"/>
    </xf>
    <xf numFmtId="0" fontId="39" fillId="33" borderId="77" xfId="0" applyFont="1" applyFill="1" applyBorder="1" applyAlignment="1">
      <alignment horizontal="center" vertical="center"/>
    </xf>
    <xf numFmtId="0" fontId="39" fillId="33" borderId="110" xfId="0" applyFont="1" applyFill="1" applyBorder="1" applyAlignment="1">
      <alignment horizontal="center" vertical="center"/>
    </xf>
    <xf numFmtId="0" fontId="40" fillId="34" borderId="217" xfId="0" applyFont="1" applyFill="1" applyBorder="1" applyAlignment="1">
      <alignment horizontal="center" vertical="center"/>
    </xf>
    <xf numFmtId="0" fontId="40" fillId="34" borderId="107" xfId="0" applyFont="1" applyFill="1" applyBorder="1" applyAlignment="1">
      <alignment horizontal="center" vertical="center"/>
    </xf>
    <xf numFmtId="0" fontId="40" fillId="34" borderId="218" xfId="0" applyFont="1" applyFill="1" applyBorder="1" applyAlignment="1">
      <alignment horizontal="center" vertical="center"/>
    </xf>
    <xf numFmtId="0" fontId="39" fillId="33" borderId="138" xfId="0" applyFont="1" applyFill="1" applyBorder="1" applyAlignment="1">
      <alignment horizontal="center" vertical="center"/>
    </xf>
    <xf numFmtId="0" fontId="39" fillId="33" borderId="142" xfId="0" applyFont="1" applyFill="1" applyBorder="1" applyAlignment="1">
      <alignment horizontal="center" vertical="center"/>
    </xf>
    <xf numFmtId="0" fontId="52" fillId="33" borderId="143" xfId="0" applyFont="1" applyFill="1" applyBorder="1" applyAlignment="1">
      <alignment horizontal="center" vertical="center"/>
    </xf>
    <xf numFmtId="0" fontId="52" fillId="33" borderId="141" xfId="0" applyFont="1" applyFill="1" applyBorder="1" applyAlignment="1">
      <alignment horizontal="center" vertical="center"/>
    </xf>
    <xf numFmtId="0" fontId="52" fillId="33" borderId="140" xfId="0" applyFont="1" applyFill="1" applyBorder="1" applyAlignment="1">
      <alignment horizontal="center" vertical="center"/>
    </xf>
    <xf numFmtId="0" fontId="40" fillId="34" borderId="44" xfId="0" applyFont="1" applyFill="1" applyBorder="1" applyAlignment="1">
      <alignment horizontal="center" vertical="center"/>
    </xf>
    <xf numFmtId="0" fontId="40" fillId="34" borderId="43" xfId="0" applyFont="1" applyFill="1" applyBorder="1" applyAlignment="1">
      <alignment horizontal="center" vertical="center"/>
    </xf>
    <xf numFmtId="170" fontId="0" fillId="0" borderId="85" xfId="0" applyNumberForma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170" fontId="0" fillId="0" borderId="87" xfId="0" applyNumberFormat="1" applyBorder="1" applyAlignment="1">
      <alignment horizontal="center" vertical="center"/>
    </xf>
    <xf numFmtId="0" fontId="40" fillId="34" borderId="145" xfId="0" applyFont="1" applyFill="1" applyBorder="1" applyAlignment="1">
      <alignment horizontal="center" vertical="center"/>
    </xf>
    <xf numFmtId="0" fontId="40" fillId="34" borderId="76" xfId="0" applyFont="1" applyFill="1" applyBorder="1" applyAlignment="1">
      <alignment horizontal="center" vertical="center"/>
    </xf>
    <xf numFmtId="0" fontId="45" fillId="38" borderId="126" xfId="994" applyNumberFormat="1" applyFont="1" applyFill="1" applyBorder="1" applyAlignment="1">
      <alignment horizontal="center"/>
    </xf>
    <xf numFmtId="170" fontId="45" fillId="38" borderId="127" xfId="994" applyNumberFormat="1" applyFont="1" applyFill="1" applyBorder="1" applyAlignment="1">
      <alignment horizontal="center"/>
    </xf>
    <xf numFmtId="0" fontId="40" fillId="34" borderId="45" xfId="0" applyFont="1" applyFill="1" applyBorder="1" applyAlignment="1">
      <alignment horizontal="center" vertical="center"/>
    </xf>
    <xf numFmtId="0" fontId="40" fillId="34" borderId="46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40" fillId="34" borderId="85" xfId="0" applyFont="1" applyFill="1" applyBorder="1" applyAlignment="1">
      <alignment horizontal="center" vertical="center" wrapText="1"/>
    </xf>
    <xf numFmtId="0" fontId="40" fillId="34" borderId="86" xfId="0" applyFont="1" applyFill="1" applyBorder="1" applyAlignment="1">
      <alignment horizontal="center" vertical="center" wrapText="1"/>
    </xf>
    <xf numFmtId="0" fontId="40" fillId="34" borderId="87" xfId="0" applyFont="1" applyFill="1" applyBorder="1" applyAlignment="1">
      <alignment horizontal="center" vertical="center" wrapText="1"/>
    </xf>
    <xf numFmtId="0" fontId="40" fillId="34" borderId="184" xfId="0" applyFont="1" applyFill="1" applyBorder="1" applyAlignment="1">
      <alignment horizontal="center" vertical="center"/>
    </xf>
    <xf numFmtId="0" fontId="40" fillId="34" borderId="172" xfId="0" applyFont="1" applyFill="1" applyBorder="1" applyAlignment="1">
      <alignment horizontal="center" vertical="center"/>
    </xf>
    <xf numFmtId="0" fontId="40" fillId="34" borderId="186" xfId="0" applyFont="1" applyFill="1" applyBorder="1" applyAlignment="1">
      <alignment horizontal="center" vertical="center"/>
    </xf>
    <xf numFmtId="0" fontId="40" fillId="34" borderId="124" xfId="0" applyFont="1" applyFill="1" applyBorder="1" applyAlignment="1">
      <alignment horizontal="center" vertical="center"/>
    </xf>
    <xf numFmtId="0" fontId="39" fillId="33" borderId="175" xfId="0" applyFont="1" applyFill="1" applyBorder="1" applyAlignment="1">
      <alignment horizontal="center" vertical="center"/>
    </xf>
    <xf numFmtId="0" fontId="39" fillId="33" borderId="172" xfId="0" applyFont="1" applyFill="1" applyBorder="1" applyAlignment="1">
      <alignment horizontal="center" vertical="center"/>
    </xf>
    <xf numFmtId="0" fontId="45" fillId="33" borderId="76" xfId="0" applyFont="1" applyFill="1" applyBorder="1" applyAlignment="1">
      <alignment horizontal="center" vertical="center" wrapText="1"/>
    </xf>
    <xf numFmtId="0" fontId="45" fillId="33" borderId="77" xfId="0" applyFont="1" applyFill="1" applyBorder="1" applyAlignment="1">
      <alignment horizontal="center" vertical="center" wrapText="1"/>
    </xf>
    <xf numFmtId="20" fontId="45" fillId="33" borderId="187" xfId="0" applyNumberFormat="1" applyFont="1" applyFill="1" applyBorder="1" applyAlignment="1">
      <alignment horizontal="center" vertical="center"/>
    </xf>
    <xf numFmtId="20" fontId="45" fillId="33" borderId="188" xfId="0" applyNumberFormat="1" applyFont="1" applyFill="1" applyBorder="1" applyAlignment="1">
      <alignment horizontal="center" vertical="center"/>
    </xf>
    <xf numFmtId="20" fontId="45" fillId="33" borderId="189" xfId="0" applyNumberFormat="1" applyFont="1" applyFill="1" applyBorder="1" applyAlignment="1">
      <alignment horizontal="center" vertical="center"/>
    </xf>
    <xf numFmtId="0" fontId="40" fillId="34" borderId="183" xfId="0" applyFont="1" applyFill="1" applyBorder="1" applyAlignment="1">
      <alignment horizontal="center" vertical="center" wrapText="1"/>
    </xf>
    <xf numFmtId="0" fontId="40" fillId="34" borderId="155" xfId="0" applyFont="1" applyFill="1" applyBorder="1" applyAlignment="1">
      <alignment horizontal="center" vertical="center" wrapText="1"/>
    </xf>
    <xf numFmtId="20" fontId="40" fillId="34" borderId="71" xfId="0" applyNumberFormat="1" applyFont="1" applyFill="1" applyBorder="1" applyAlignment="1">
      <alignment horizontal="center" vertical="center"/>
    </xf>
    <xf numFmtId="20" fontId="40" fillId="34" borderId="172" xfId="0" applyNumberFormat="1" applyFont="1" applyFill="1" applyBorder="1" applyAlignment="1">
      <alignment horizontal="center" vertical="center"/>
    </xf>
    <xf numFmtId="20" fontId="40" fillId="34" borderId="77" xfId="0" applyNumberFormat="1" applyFont="1" applyFill="1" applyBorder="1" applyAlignment="1">
      <alignment horizontal="center" vertical="center"/>
    </xf>
    <xf numFmtId="0" fontId="40" fillId="34" borderId="185" xfId="0" applyFont="1" applyFill="1" applyBorder="1" applyAlignment="1">
      <alignment horizontal="center" vertical="center"/>
    </xf>
    <xf numFmtId="0" fontId="40" fillId="34" borderId="109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 wrapText="1"/>
    </xf>
    <xf numFmtId="3" fontId="40" fillId="34" borderId="72" xfId="2" applyNumberFormat="1" applyFont="1" applyFill="1" applyBorder="1" applyAlignment="1">
      <alignment horizontal="center" vertical="center" wrapText="1"/>
    </xf>
    <xf numFmtId="3" fontId="40" fillId="34" borderId="73" xfId="2" applyNumberFormat="1" applyFont="1" applyFill="1" applyBorder="1" applyAlignment="1">
      <alignment horizontal="center" vertical="center" wrapText="1"/>
    </xf>
    <xf numFmtId="3" fontId="40" fillId="34" borderId="191" xfId="2" applyNumberFormat="1" applyFont="1" applyFill="1" applyBorder="1" applyAlignment="1">
      <alignment horizontal="center" vertical="center" wrapText="1"/>
    </xf>
    <xf numFmtId="0" fontId="40" fillId="34" borderId="72" xfId="0" applyFont="1" applyFill="1" applyBorder="1" applyAlignment="1">
      <alignment horizontal="center" vertical="center"/>
    </xf>
    <xf numFmtId="0" fontId="45" fillId="39" borderId="73" xfId="0" applyFont="1" applyFill="1" applyBorder="1" applyAlignment="1">
      <alignment horizontal="center" vertical="center" wrapText="1"/>
    </xf>
    <xf numFmtId="0" fontId="45" fillId="39" borderId="79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 wrapText="1"/>
    </xf>
    <xf numFmtId="0" fontId="53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5" fillId="33" borderId="0" xfId="0" applyFont="1" applyFill="1" applyBorder="1" applyAlignment="1">
      <alignment horizontal="center" vertical="center"/>
    </xf>
    <xf numFmtId="0" fontId="45" fillId="33" borderId="42" xfId="0" applyFont="1" applyFill="1" applyBorder="1" applyAlignment="1">
      <alignment horizontal="center" vertical="center"/>
    </xf>
    <xf numFmtId="0" fontId="0" fillId="33" borderId="85" xfId="0" applyFill="1" applyBorder="1" applyAlignment="1">
      <alignment horizontal="center"/>
    </xf>
    <xf numFmtId="0" fontId="0" fillId="33" borderId="86" xfId="0" applyFill="1" applyBorder="1" applyAlignment="1">
      <alignment horizontal="center"/>
    </xf>
    <xf numFmtId="0" fontId="0" fillId="33" borderId="87" xfId="0" applyFill="1" applyBorder="1" applyAlignment="1">
      <alignment horizontal="center"/>
    </xf>
    <xf numFmtId="0" fontId="39" fillId="33" borderId="71" xfId="0" applyFont="1" applyFill="1" applyBorder="1" applyAlignment="1">
      <alignment horizontal="center" vertical="center"/>
    </xf>
    <xf numFmtId="0" fontId="39" fillId="33" borderId="73" xfId="0" applyFont="1" applyFill="1" applyBorder="1" applyAlignment="1">
      <alignment horizontal="center" vertical="center"/>
    </xf>
    <xf numFmtId="0" fontId="39" fillId="33" borderId="79" xfId="0" applyFont="1" applyFill="1" applyBorder="1" applyAlignment="1">
      <alignment horizontal="center" vertical="center"/>
    </xf>
    <xf numFmtId="0" fontId="40" fillId="34" borderId="72" xfId="0" applyFont="1" applyFill="1" applyBorder="1" applyAlignment="1">
      <alignment horizontal="center"/>
    </xf>
    <xf numFmtId="0" fontId="40" fillId="34" borderId="73" xfId="0" applyFont="1" applyFill="1" applyBorder="1" applyAlignment="1">
      <alignment horizontal="center"/>
    </xf>
    <xf numFmtId="0" fontId="40" fillId="34" borderId="163" xfId="0" applyFont="1" applyFill="1" applyBorder="1" applyAlignment="1">
      <alignment horizontal="center"/>
    </xf>
    <xf numFmtId="0" fontId="34" fillId="34" borderId="0" xfId="0" applyFont="1" applyFill="1" applyBorder="1" applyAlignment="1">
      <alignment horizontal="center" vertical="center" wrapText="1" readingOrder="1"/>
    </xf>
    <xf numFmtId="0" fontId="45" fillId="0" borderId="86" xfId="0" applyFont="1" applyBorder="1" applyAlignment="1">
      <alignment horizontal="center" vertical="center"/>
    </xf>
    <xf numFmtId="0" fontId="45" fillId="0" borderId="87" xfId="0" applyFont="1" applyBorder="1" applyAlignment="1">
      <alignment horizontal="center" vertical="center"/>
    </xf>
    <xf numFmtId="0" fontId="39" fillId="33" borderId="71" xfId="0" applyFont="1" applyFill="1" applyBorder="1" applyAlignment="1">
      <alignment horizontal="center" vertical="center" wrapText="1"/>
    </xf>
    <xf numFmtId="0" fontId="39" fillId="33" borderId="73" xfId="0" applyFont="1" applyFill="1" applyBorder="1" applyAlignment="1">
      <alignment horizontal="center" vertical="center" wrapText="1"/>
    </xf>
    <xf numFmtId="0" fontId="39" fillId="33" borderId="77" xfId="0" applyFont="1" applyFill="1" applyBorder="1" applyAlignment="1">
      <alignment horizontal="center" vertical="center" wrapText="1"/>
    </xf>
    <xf numFmtId="0" fontId="39" fillId="33" borderId="79" xfId="0" applyFont="1" applyFill="1" applyBorder="1" applyAlignment="1">
      <alignment horizontal="center" vertical="center" wrapText="1"/>
    </xf>
    <xf numFmtId="0" fontId="40" fillId="34" borderId="163" xfId="0" applyFont="1" applyFill="1" applyBorder="1" applyAlignment="1">
      <alignment horizontal="center" vertical="center"/>
    </xf>
    <xf numFmtId="0" fontId="45" fillId="33" borderId="106" xfId="0" applyFont="1" applyFill="1" applyBorder="1" applyAlignment="1">
      <alignment horizontal="center" vertical="center"/>
    </xf>
    <xf numFmtId="0" fontId="45" fillId="33" borderId="26" xfId="0" applyFont="1" applyFill="1" applyBorder="1" applyAlignment="1">
      <alignment horizontal="center" vertical="center"/>
    </xf>
    <xf numFmtId="0" fontId="45" fillId="0" borderId="155" xfId="0" applyFont="1" applyBorder="1" applyAlignment="1">
      <alignment horizontal="center" vertic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 vertical="center"/>
    </xf>
    <xf numFmtId="0" fontId="40" fillId="36" borderId="71" xfId="0" applyFont="1" applyFill="1" applyBorder="1" applyAlignment="1">
      <alignment horizontal="center" vertical="center" wrapText="1"/>
    </xf>
    <xf numFmtId="0" fontId="40" fillId="36" borderId="72" xfId="0" applyFont="1" applyFill="1" applyBorder="1" applyAlignment="1">
      <alignment horizontal="center" vertical="center" wrapText="1"/>
    </xf>
    <xf numFmtId="0" fontId="40" fillId="36" borderId="73" xfId="0" applyFont="1" applyFill="1" applyBorder="1" applyAlignment="1">
      <alignment horizontal="center" vertical="center" wrapText="1"/>
    </xf>
    <xf numFmtId="0" fontId="40" fillId="36" borderId="77" xfId="0" applyFont="1" applyFill="1" applyBorder="1" applyAlignment="1">
      <alignment horizontal="center" vertical="center" wrapText="1"/>
    </xf>
    <xf numFmtId="0" fontId="40" fillId="36" borderId="78" xfId="0" applyFont="1" applyFill="1" applyBorder="1" applyAlignment="1">
      <alignment horizontal="center" vertical="center" wrapText="1"/>
    </xf>
    <xf numFmtId="0" fontId="40" fillId="36" borderId="79" xfId="0" applyFont="1" applyFill="1" applyBorder="1" applyAlignment="1">
      <alignment horizontal="center" vertical="center" wrapText="1"/>
    </xf>
    <xf numFmtId="0" fontId="35" fillId="37" borderId="125" xfId="0" applyFont="1" applyFill="1" applyBorder="1" applyAlignment="1">
      <alignment horizontal="center" vertical="center" wrapText="1"/>
    </xf>
    <xf numFmtId="0" fontId="35" fillId="37" borderId="126" xfId="0" applyFont="1" applyFill="1" applyBorder="1" applyAlignment="1">
      <alignment horizontal="center" vertical="center" wrapText="1"/>
    </xf>
    <xf numFmtId="0" fontId="35" fillId="37" borderId="127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30" fillId="0" borderId="85" xfId="0" applyFont="1" applyBorder="1" applyAlignment="1">
      <alignment horizontal="center"/>
    </xf>
    <xf numFmtId="0" fontId="30" fillId="0" borderId="86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0" fontId="39" fillId="0" borderId="71" xfId="0" applyFont="1" applyBorder="1" applyAlignment="1">
      <alignment horizontal="center" vertical="center" wrapText="1"/>
    </xf>
    <xf numFmtId="0" fontId="39" fillId="0" borderId="77" xfId="0" applyFont="1" applyBorder="1" applyAlignment="1">
      <alignment horizontal="center" vertical="center" wrapText="1"/>
    </xf>
    <xf numFmtId="0" fontId="39" fillId="33" borderId="125" xfId="0" applyFont="1" applyFill="1" applyBorder="1" applyAlignment="1">
      <alignment horizontal="center" vertical="center" wrapText="1"/>
    </xf>
    <xf numFmtId="0" fontId="39" fillId="33" borderId="127" xfId="0" applyFont="1" applyFill="1" applyBorder="1" applyAlignment="1">
      <alignment horizontal="center" vertical="center" wrapText="1"/>
    </xf>
    <xf numFmtId="0" fontId="40" fillId="34" borderId="71" xfId="0" applyFont="1" applyFill="1" applyBorder="1" applyAlignment="1">
      <alignment horizontal="center"/>
    </xf>
    <xf numFmtId="0" fontId="45" fillId="0" borderId="85" xfId="0" applyFont="1" applyBorder="1" applyAlignment="1">
      <alignment horizontal="center" vertical="center"/>
    </xf>
    <xf numFmtId="0" fontId="36" fillId="34" borderId="27" xfId="0" applyFont="1" applyFill="1" applyBorder="1" applyAlignment="1">
      <alignment horizontal="center" vertical="center"/>
    </xf>
    <xf numFmtId="0" fontId="36" fillId="34" borderId="25" xfId="0" applyFont="1" applyFill="1" applyBorder="1" applyAlignment="1">
      <alignment horizontal="center" vertical="center"/>
    </xf>
    <xf numFmtId="0" fontId="37" fillId="34" borderId="27" xfId="0" applyFont="1" applyFill="1" applyBorder="1" applyAlignment="1">
      <alignment horizontal="center" vertical="center"/>
    </xf>
    <xf numFmtId="0" fontId="37" fillId="34" borderId="21" xfId="0" applyFont="1" applyFill="1" applyBorder="1" applyAlignment="1">
      <alignment horizontal="center" vertical="center"/>
    </xf>
    <xf numFmtId="0" fontId="37" fillId="34" borderId="24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40" fillId="34" borderId="183" xfId="0" applyFont="1" applyFill="1" applyBorder="1" applyAlignment="1">
      <alignment horizontal="center" vertical="center"/>
    </xf>
    <xf numFmtId="0" fontId="50" fillId="33" borderId="12" xfId="0" applyFont="1" applyFill="1" applyBorder="1" applyAlignment="1">
      <alignment horizontal="center" vertical="center" wrapText="1"/>
    </xf>
    <xf numFmtId="0" fontId="50" fillId="33" borderId="13" xfId="0" applyFont="1" applyFill="1" applyBorder="1" applyAlignment="1">
      <alignment horizontal="center" vertical="center" wrapText="1"/>
    </xf>
    <xf numFmtId="0" fontId="50" fillId="33" borderId="15" xfId="0" applyFont="1" applyFill="1" applyBorder="1" applyAlignment="1">
      <alignment horizontal="center" vertical="center" wrapText="1"/>
    </xf>
    <xf numFmtId="0" fontId="50" fillId="33" borderId="0" xfId="0" applyFont="1" applyFill="1" applyBorder="1" applyAlignment="1">
      <alignment horizontal="center" vertical="center" wrapText="1"/>
    </xf>
    <xf numFmtId="0" fontId="50" fillId="33" borderId="10" xfId="0" applyFont="1" applyFill="1" applyBorder="1" applyAlignment="1">
      <alignment horizontal="center" vertical="center" wrapText="1"/>
    </xf>
    <xf numFmtId="0" fontId="50" fillId="33" borderId="11" xfId="0" applyFont="1" applyFill="1" applyBorder="1" applyAlignment="1">
      <alignment horizontal="center" vertical="center" wrapText="1"/>
    </xf>
    <xf numFmtId="0" fontId="30" fillId="33" borderId="18" xfId="0" applyFont="1" applyFill="1" applyBorder="1" applyAlignment="1">
      <alignment horizontal="center" vertical="center"/>
    </xf>
    <xf numFmtId="0" fontId="30" fillId="33" borderId="19" xfId="0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/>
    </xf>
  </cellXfs>
  <cellStyles count="10491">
    <cellStyle name="%" xfId="3"/>
    <cellStyle name="% 2" xfId="4"/>
    <cellStyle name="%_CA-postpaid-prépaid-data-terminaux 1er sem2010-2009" xfId="5"/>
    <cellStyle name="%_CA-Recou-postpaid1er semestre 2010" xfId="6"/>
    <cellStyle name="%_Copie de Reporting PA - DME - A fin mars 2009 SDVME" xfId="7"/>
    <cellStyle name="%_Copie de Reporting PA - DME - A fin mars 2009 SDVME 2" xfId="1096"/>
    <cellStyle name="%_Copie de Reporting PA - DME - A fin mars 2009 SDVME 3" xfId="1097"/>
    <cellStyle name="%_Copie de Reporting PA - DME - A fin mars 2009 SDVME 4" xfId="1098"/>
    <cellStyle name="%_Copie de Reporting PA - DME - A fin mars 2009 SDVME 5" xfId="1099"/>
    <cellStyle name="%_Copie de Reporting PA - DME - A fin mars 2009 SDVME_Reporting-ventes-Avril 2011" xfId="8"/>
    <cellStyle name="%_Copie de Reporting PA - DME - A fin mars 2009 SDVME_Reporting-Ventes-juin 2011" xfId="9"/>
    <cellStyle name="%_Copie de Reporting PA - DME - A fin mars 2009 SDVME_Situation créance antérieure au 31122011" xfId="10"/>
    <cellStyle name="%_Etat Comparatif Post-Prép 2009-2010-13012011" xfId="11"/>
    <cellStyle name="%_Etat Comparatif Post-Prép 2009-2010-à décembre-pour mahdia" xfId="1100"/>
    <cellStyle name="%_Evolution des vente ME 2010 arreté mois de Décembre" xfId="12"/>
    <cellStyle name="%_PA-septembre-3ème trimestre 2010-VENTES" xfId="13"/>
    <cellStyle name="%_Reporting  AVRIL  2011-Relation Clients" xfId="14"/>
    <cellStyle name="%_Reporting PA - DME - 1er semestre 2009-Recouvrement" xfId="15"/>
    <cellStyle name="%_Reporting PA - DME - 1er semestre 2009-Recouvrement 2" xfId="1101"/>
    <cellStyle name="%_Reporting PA - DME - 1er semestre 2009-Recouvrement 3" xfId="1102"/>
    <cellStyle name="%_Reporting PA - DME - 1er semestre 2009-Recouvrement 4" xfId="1103"/>
    <cellStyle name="%_Reporting PA - DME - 1er semestre 2009-Recouvrement 5" xfId="1104"/>
    <cellStyle name="%_Reporting PA - DME - 1er semestre 2009-Recouvrement_Evolution des vente ME 2010 arreté mois de Décembre" xfId="16"/>
    <cellStyle name="%_Reporting PA - DME - 1er semestre 2009-Recouvrement_Reporting-ventes-Avril 2011" xfId="17"/>
    <cellStyle name="%_Reporting PA - DME - 1er semestre 2009-Recouvrement_Reporting-Ventes-juin 2011" xfId="18"/>
    <cellStyle name="%_Reporting PA - DME - 1er semestre 2009-Recouvrement_Situation créance antérieure au 31122011" xfId="19"/>
    <cellStyle name="%_Reporting PA - DME - 1er Trimestre 2009" xfId="20"/>
    <cellStyle name="%_Reporting PA - DME - 1er Trimestre 2009  Version 2" xfId="21"/>
    <cellStyle name="%_Reporting PA - DME - 1er Trimestre 2009  Version 2 2" xfId="1105"/>
    <cellStyle name="%_Reporting PA - DME - 1er Trimestre 2009  Version 2 3" xfId="1106"/>
    <cellStyle name="%_Reporting PA - DME - 1er Trimestre 2009  Version 2 4" xfId="1107"/>
    <cellStyle name="%_Reporting PA - DME - 1er Trimestre 2009  Version 2 5" xfId="1108"/>
    <cellStyle name="%_Reporting PA - DME - 1er Trimestre 2009  Version 2_Evolution des vente ME 2010 arreté mois de Décembre" xfId="22"/>
    <cellStyle name="%_Reporting PA - DME - 1er Trimestre 2009  Version 2_Reporting-ventes-Avril 2011" xfId="23"/>
    <cellStyle name="%_Reporting PA - DME - 1er Trimestre 2009  Version 2_Reporting-Ventes-juin 2011" xfId="24"/>
    <cellStyle name="%_Reporting PA - DME - 1er Trimestre 2009  Version 2_Situation créance antérieure au 31122011" xfId="25"/>
    <cellStyle name="%_Reporting PA - DME - 1er Trimestre 2009 2" xfId="1109"/>
    <cellStyle name="%_Reporting PA - DME - 1er Trimestre 2009 3" xfId="1110"/>
    <cellStyle name="%_Reporting PA - DME - 1er Trimestre 2009 4" xfId="1111"/>
    <cellStyle name="%_Reporting PA - DME - 1er Trimestre 2009 5" xfId="1112"/>
    <cellStyle name="%_Reporting PA - DME - 1er Trimestre 2009_Evolution des vente ME 2010 arreté mois de Décembre" xfId="26"/>
    <cellStyle name="%_Reporting PA - DME - 1er Trimestre 2009_Reporting-ventes-Avril 2011" xfId="27"/>
    <cellStyle name="%_Reporting PA - DME - 1er Trimestre 2009_Reporting-Ventes-juin 2011" xfId="28"/>
    <cellStyle name="%_Reporting PA - DME - 1er Trimestre 2009_Situation créance antérieure au 31122011" xfId="29"/>
    <cellStyle name="%_Reporting PA - DME - A fin mars 2009 SDVME" xfId="30"/>
    <cellStyle name="%_Reporting PA - DME - A fin mars 2009 SDVME 2" xfId="1113"/>
    <cellStyle name="%_Reporting PA - DME - A fin mars 2009 SDVME 3" xfId="1114"/>
    <cellStyle name="%_Reporting PA - DME - A fin mars 2009 SDVME 4" xfId="1115"/>
    <cellStyle name="%_Reporting PA - DME - A fin mars 2009 SDVME 5" xfId="1116"/>
    <cellStyle name="%_Reporting PA - DME - A fin mars 2009 SDVME_Evolution des vente ME 2010 arreté mois de Décembre" xfId="31"/>
    <cellStyle name="%_Reporting PA - DME - A fin mars 2009 SDVME_Reporting-ventes-Avril 2011" xfId="32"/>
    <cellStyle name="%_Reporting PA - DME - A fin mars 2009 SDVME_Reporting-Ventes-juin 2011" xfId="33"/>
    <cellStyle name="%_Reporting PA - DME - A fin mars 2009 SDVME_Situation créance antérieure au 31122011" xfId="34"/>
    <cellStyle name="%_Reporting PA 0811 2010" xfId="35"/>
    <cellStyle name="%_Reporting PA juin 2010" xfId="36"/>
    <cellStyle name="%_Reporting PA Novembre 2010-recou-postpaid" xfId="37"/>
    <cellStyle name="%_Reporting PA octobre 2010" xfId="38"/>
    <cellStyle name="%_Reporting PA-décembre 2010-RC" xfId="39"/>
    <cellStyle name="%_Reporting PA-décembre 2010-recou" xfId="40"/>
    <cellStyle name="%_Reporting PA-décembre 2010-recou prépaid" xfId="41"/>
    <cellStyle name="%_Reporting PA-DME-2009" xfId="42"/>
    <cellStyle name="%_Reporting PA-DME-200908112010" xfId="43"/>
    <cellStyle name="%_Reporting PA-février -RC-2011" xfId="44"/>
    <cellStyle name="%_Reporting PA-Janvier 2011-RC" xfId="45"/>
    <cellStyle name="%_Reporting PA-mars-avril 2010" xfId="46"/>
    <cellStyle name="%_Reporting PA-Mars-RC  2011" xfId="47"/>
    <cellStyle name="%_Reporting PA-novembre 2010-1er jet" xfId="48"/>
    <cellStyle name="%_Reporting PA-novembre 2010-RC" xfId="49"/>
    <cellStyle name="%_Reporting PA-novembre 2010-RC 2" xfId="1117"/>
    <cellStyle name="%_Reporting PA-NOVEMBRE 2010-Recou prépayé" xfId="50"/>
    <cellStyle name="%_Reporting PA-octobre 2010" xfId="51"/>
    <cellStyle name="%_Reporting PA-octobre 2010-V1" xfId="52"/>
    <cellStyle name="%_Reporting PA-septembre-3ème trimestre 2010" xfId="53"/>
    <cellStyle name="%_Reporting PA-septembre-3ème trimestre 2010-DSP" xfId="54"/>
    <cellStyle name="%_Reporting PA-septembre-3ème trimestre 2010-V2" xfId="55"/>
    <cellStyle name="%_Reporting-avril 2011" xfId="56"/>
    <cellStyle name="%_Reporting-AVRIL 2011-Recouvrement" xfId="57"/>
    <cellStyle name="%_Reporting-janvier 2011-Final" xfId="58"/>
    <cellStyle name="%_Reporting-janvier 2011-Recou-prépaid" xfId="59"/>
    <cellStyle name="%_Reporting-mai 2011" xfId="60"/>
    <cellStyle name="%_Reporting-mai 2011-Final" xfId="61"/>
    <cellStyle name="%_Reporting-ventes-Avril 2011" xfId="62"/>
    <cellStyle name="%_Reporting-Ventes-juin 2011" xfId="63"/>
    <cellStyle name="%_résiliation et parc client T1" xfId="64"/>
    <cellStyle name="%_résiliation et parc client T1 2" xfId="1118"/>
    <cellStyle name="%_résiliation et parc client T1 3" xfId="1119"/>
    <cellStyle name="%_résiliation et parc client T1 4" xfId="1120"/>
    <cellStyle name="%_résiliation et parc client T1 5" xfId="1121"/>
    <cellStyle name="%_résiliation et parc client T1_Evolution des vente ME 2010 arreté mois de Décembre" xfId="65"/>
    <cellStyle name="%_résiliation et parc client T1_Reporting-ventes-Avril 2011" xfId="66"/>
    <cellStyle name="%_résiliation et parc client T1_Reporting-Ventes-juin 2011" xfId="67"/>
    <cellStyle name="%_résiliation et parc client T1_Situation créance antérieure au 31122011" xfId="68"/>
    <cellStyle name="%_RESULTAT  OBJECTIFS15032012" xfId="69"/>
    <cellStyle name="%_situation créance année 2012" xfId="70"/>
    <cellStyle name="_Reporting PA-NOVEMBRE 2010-Recou prépayé" xfId="71"/>
    <cellStyle name="0,0_x000d__x000a_NA_x000d__x000a_" xfId="72"/>
    <cellStyle name="20 % - Accent1 10" xfId="73"/>
    <cellStyle name="20 % - Accent1 10 2" xfId="74"/>
    <cellStyle name="20 % - Accent1 10 2 2" xfId="75"/>
    <cellStyle name="20 % - Accent1 10 2 3" xfId="1122"/>
    <cellStyle name="20 % - Accent1 10 3" xfId="76"/>
    <cellStyle name="20 % - Accent1 10 3 2" xfId="1123"/>
    <cellStyle name="20 % - Accent1 10 3 3" xfId="1124"/>
    <cellStyle name="20 % - Accent1 10 4" xfId="1125"/>
    <cellStyle name="20 % - Accent1 10 5" xfId="1126"/>
    <cellStyle name="20 % - Accent1 100" xfId="1127"/>
    <cellStyle name="20 % - Accent1 101" xfId="1128"/>
    <cellStyle name="20 % - Accent1 102" xfId="1129"/>
    <cellStyle name="20 % - Accent1 103" xfId="1130"/>
    <cellStyle name="20 % - Accent1 104" xfId="1131"/>
    <cellStyle name="20 % - Accent1 105" xfId="1132"/>
    <cellStyle name="20 % - Accent1 106" xfId="1133"/>
    <cellStyle name="20 % - Accent1 107" xfId="1134"/>
    <cellStyle name="20 % - Accent1 108" xfId="1135"/>
    <cellStyle name="20 % - Accent1 109" xfId="1136"/>
    <cellStyle name="20 % - Accent1 11" xfId="77"/>
    <cellStyle name="20 % - Accent1 11 2" xfId="78"/>
    <cellStyle name="20 % - Accent1 11 2 2" xfId="79"/>
    <cellStyle name="20 % - Accent1 11 2 3" xfId="1137"/>
    <cellStyle name="20 % - Accent1 11 3" xfId="80"/>
    <cellStyle name="20 % - Accent1 11 3 2" xfId="1138"/>
    <cellStyle name="20 % - Accent1 11 3 3" xfId="1139"/>
    <cellStyle name="20 % - Accent1 11 4" xfId="1140"/>
    <cellStyle name="20 % - Accent1 11 5" xfId="1141"/>
    <cellStyle name="20 % - Accent1 110" xfId="1142"/>
    <cellStyle name="20 % - Accent1 111" xfId="1143"/>
    <cellStyle name="20 % - Accent1 112" xfId="1144"/>
    <cellStyle name="20 % - Accent1 113" xfId="1145"/>
    <cellStyle name="20 % - Accent1 114" xfId="1146"/>
    <cellStyle name="20 % - Accent1 115" xfId="1147"/>
    <cellStyle name="20 % - Accent1 116" xfId="1148"/>
    <cellStyle name="20 % - Accent1 117" xfId="1149"/>
    <cellStyle name="20 % - Accent1 118" xfId="1150"/>
    <cellStyle name="20 % - Accent1 119" xfId="1151"/>
    <cellStyle name="20 % - Accent1 12" xfId="81"/>
    <cellStyle name="20 % - Accent1 12 2" xfId="82"/>
    <cellStyle name="20 % - Accent1 12 2 2" xfId="83"/>
    <cellStyle name="20 % - Accent1 12 2 3" xfId="1152"/>
    <cellStyle name="20 % - Accent1 12 3" xfId="84"/>
    <cellStyle name="20 % - Accent1 12 3 2" xfId="1153"/>
    <cellStyle name="20 % - Accent1 12 3 3" xfId="1154"/>
    <cellStyle name="20 % - Accent1 12 4" xfId="1155"/>
    <cellStyle name="20 % - Accent1 12 5" xfId="1156"/>
    <cellStyle name="20 % - Accent1 120" xfId="1157"/>
    <cellStyle name="20 % - Accent1 121" xfId="1158"/>
    <cellStyle name="20 % - Accent1 122" xfId="1159"/>
    <cellStyle name="20 % - Accent1 123" xfId="1160"/>
    <cellStyle name="20 % - Accent1 124" xfId="1161"/>
    <cellStyle name="20 % - Accent1 125" xfId="1162"/>
    <cellStyle name="20 % - Accent1 126" xfId="1163"/>
    <cellStyle name="20 % - Accent1 127" xfId="1164"/>
    <cellStyle name="20 % - Accent1 128" xfId="1165"/>
    <cellStyle name="20 % - Accent1 129" xfId="1166"/>
    <cellStyle name="20 % - Accent1 13" xfId="85"/>
    <cellStyle name="20 % - Accent1 13 2" xfId="86"/>
    <cellStyle name="20 % - Accent1 13 2 2" xfId="87"/>
    <cellStyle name="20 % - Accent1 13 2 3" xfId="1167"/>
    <cellStyle name="20 % - Accent1 13 3" xfId="88"/>
    <cellStyle name="20 % - Accent1 13 3 2" xfId="1168"/>
    <cellStyle name="20 % - Accent1 13 3 3" xfId="1169"/>
    <cellStyle name="20 % - Accent1 13 4" xfId="1170"/>
    <cellStyle name="20 % - Accent1 13 5" xfId="1171"/>
    <cellStyle name="20 % - Accent1 130" xfId="1172"/>
    <cellStyle name="20 % - Accent1 131" xfId="1173"/>
    <cellStyle name="20 % - Accent1 132" xfId="1174"/>
    <cellStyle name="20 % - Accent1 133" xfId="1175"/>
    <cellStyle name="20 % - Accent1 134" xfId="1176"/>
    <cellStyle name="20 % - Accent1 135" xfId="1177"/>
    <cellStyle name="20 % - Accent1 136" xfId="1178"/>
    <cellStyle name="20 % - Accent1 137" xfId="1179"/>
    <cellStyle name="20 % - Accent1 138" xfId="1180"/>
    <cellStyle name="20 % - Accent1 139" xfId="1181"/>
    <cellStyle name="20 % - Accent1 14" xfId="89"/>
    <cellStyle name="20 % - Accent1 14 2" xfId="90"/>
    <cellStyle name="20 % - Accent1 14 2 2" xfId="91"/>
    <cellStyle name="20 % - Accent1 14 2 3" xfId="1182"/>
    <cellStyle name="20 % - Accent1 14 3" xfId="92"/>
    <cellStyle name="20 % - Accent1 14 3 2" xfId="1183"/>
    <cellStyle name="20 % - Accent1 14 3 3" xfId="1184"/>
    <cellStyle name="20 % - Accent1 14 4" xfId="1185"/>
    <cellStyle name="20 % - Accent1 14 5" xfId="1186"/>
    <cellStyle name="20 % - Accent1 140" xfId="1187"/>
    <cellStyle name="20 % - Accent1 15" xfId="93"/>
    <cellStyle name="20 % - Accent1 15 2" xfId="94"/>
    <cellStyle name="20 % - Accent1 15 2 2" xfId="95"/>
    <cellStyle name="20 % - Accent1 15 2 3" xfId="1188"/>
    <cellStyle name="20 % - Accent1 15 3" xfId="96"/>
    <cellStyle name="20 % - Accent1 15 3 2" xfId="1189"/>
    <cellStyle name="20 % - Accent1 15 3 3" xfId="1190"/>
    <cellStyle name="20 % - Accent1 15 4" xfId="1191"/>
    <cellStyle name="20 % - Accent1 15 5" xfId="1192"/>
    <cellStyle name="20 % - Accent1 16" xfId="97"/>
    <cellStyle name="20 % - Accent1 16 2" xfId="98"/>
    <cellStyle name="20 % - Accent1 16 2 2" xfId="99"/>
    <cellStyle name="20 % - Accent1 16 2 3" xfId="1193"/>
    <cellStyle name="20 % - Accent1 16 3" xfId="100"/>
    <cellStyle name="20 % - Accent1 16 3 2" xfId="1194"/>
    <cellStyle name="20 % - Accent1 16 3 3" xfId="1195"/>
    <cellStyle name="20 % - Accent1 16 4" xfId="1196"/>
    <cellStyle name="20 % - Accent1 16 5" xfId="1197"/>
    <cellStyle name="20 % - Accent1 17" xfId="101"/>
    <cellStyle name="20 % - Accent1 17 2" xfId="102"/>
    <cellStyle name="20 % - Accent1 17 2 2" xfId="103"/>
    <cellStyle name="20 % - Accent1 17 2 3" xfId="1198"/>
    <cellStyle name="20 % - Accent1 17 3" xfId="104"/>
    <cellStyle name="20 % - Accent1 17 3 2" xfId="1199"/>
    <cellStyle name="20 % - Accent1 17 3 3" xfId="1200"/>
    <cellStyle name="20 % - Accent1 17 4" xfId="1201"/>
    <cellStyle name="20 % - Accent1 17 5" xfId="1202"/>
    <cellStyle name="20 % - Accent1 18" xfId="105"/>
    <cellStyle name="20 % - Accent1 18 2" xfId="106"/>
    <cellStyle name="20 % - Accent1 18 2 2" xfId="107"/>
    <cellStyle name="20 % - Accent1 18 2 3" xfId="1203"/>
    <cellStyle name="20 % - Accent1 18 3" xfId="108"/>
    <cellStyle name="20 % - Accent1 18 3 2" xfId="1204"/>
    <cellStyle name="20 % - Accent1 18 3 3" xfId="1205"/>
    <cellStyle name="20 % - Accent1 18 4" xfId="1206"/>
    <cellStyle name="20 % - Accent1 18 5" xfId="1207"/>
    <cellStyle name="20 % - Accent1 19" xfId="1208"/>
    <cellStyle name="20 % - Accent1 19 2" xfId="1209"/>
    <cellStyle name="20 % - Accent1 19 2 2" xfId="1210"/>
    <cellStyle name="20 % - Accent1 19 2 3" xfId="1211"/>
    <cellStyle name="20 % - Accent1 19 3" xfId="1212"/>
    <cellStyle name="20 % - Accent1 19 3 2" xfId="1213"/>
    <cellStyle name="20 % - Accent1 19 3 3" xfId="1214"/>
    <cellStyle name="20 % - Accent1 19 4" xfId="1215"/>
    <cellStyle name="20 % - Accent1 19 5" xfId="1216"/>
    <cellStyle name="20 % - Accent1 2" xfId="109"/>
    <cellStyle name="20 % - Accent1 2 2" xfId="110"/>
    <cellStyle name="20 % - Accent1 2 2 2" xfId="111"/>
    <cellStyle name="20 % - Accent1 2 2 3" xfId="1217"/>
    <cellStyle name="20 % - Accent1 2 3" xfId="112"/>
    <cellStyle name="20 % - Accent1 2 3 2" xfId="1218"/>
    <cellStyle name="20 % - Accent1 2 3 3" xfId="1219"/>
    <cellStyle name="20 % - Accent1 2 4" xfId="1220"/>
    <cellStyle name="20 % - Accent1 2 5" xfId="1221"/>
    <cellStyle name="20 % - Accent1 20" xfId="1222"/>
    <cellStyle name="20 % - Accent1 20 2" xfId="1223"/>
    <cellStyle name="20 % - Accent1 20 2 2" xfId="1224"/>
    <cellStyle name="20 % - Accent1 20 2 3" xfId="1225"/>
    <cellStyle name="20 % - Accent1 20 3" xfId="1226"/>
    <cellStyle name="20 % - Accent1 20 3 2" xfId="1227"/>
    <cellStyle name="20 % - Accent1 20 3 3" xfId="1228"/>
    <cellStyle name="20 % - Accent1 20 4" xfId="1229"/>
    <cellStyle name="20 % - Accent1 20 5" xfId="1230"/>
    <cellStyle name="20 % - Accent1 21" xfId="1231"/>
    <cellStyle name="20 % - Accent1 21 2" xfId="1232"/>
    <cellStyle name="20 % - Accent1 21 2 2" xfId="1233"/>
    <cellStyle name="20 % - Accent1 21 2 3" xfId="1234"/>
    <cellStyle name="20 % - Accent1 21 3" xfId="1235"/>
    <cellStyle name="20 % - Accent1 21 3 2" xfId="1236"/>
    <cellStyle name="20 % - Accent1 21 3 3" xfId="1237"/>
    <cellStyle name="20 % - Accent1 21 4" xfId="1238"/>
    <cellStyle name="20 % - Accent1 21 5" xfId="1239"/>
    <cellStyle name="20 % - Accent1 22" xfId="1240"/>
    <cellStyle name="20 % - Accent1 22 2" xfId="1241"/>
    <cellStyle name="20 % - Accent1 22 2 2" xfId="1242"/>
    <cellStyle name="20 % - Accent1 22 2 3" xfId="1243"/>
    <cellStyle name="20 % - Accent1 22 3" xfId="1244"/>
    <cellStyle name="20 % - Accent1 22 3 2" xfId="1245"/>
    <cellStyle name="20 % - Accent1 22 3 3" xfId="1246"/>
    <cellStyle name="20 % - Accent1 22 4" xfId="1247"/>
    <cellStyle name="20 % - Accent1 22 5" xfId="1248"/>
    <cellStyle name="20 % - Accent1 23" xfId="1249"/>
    <cellStyle name="20 % - Accent1 23 2" xfId="1250"/>
    <cellStyle name="20 % - Accent1 23 2 2" xfId="1251"/>
    <cellStyle name="20 % - Accent1 23 2 3" xfId="1252"/>
    <cellStyle name="20 % - Accent1 23 3" xfId="1253"/>
    <cellStyle name="20 % - Accent1 23 3 2" xfId="1254"/>
    <cellStyle name="20 % - Accent1 23 3 3" xfId="1255"/>
    <cellStyle name="20 % - Accent1 23 4" xfId="1256"/>
    <cellStyle name="20 % - Accent1 23 5" xfId="1257"/>
    <cellStyle name="20 % - Accent1 24" xfId="1258"/>
    <cellStyle name="20 % - Accent1 24 2" xfId="1259"/>
    <cellStyle name="20 % - Accent1 24 2 2" xfId="1260"/>
    <cellStyle name="20 % - Accent1 24 2 3" xfId="1261"/>
    <cellStyle name="20 % - Accent1 24 3" xfId="1262"/>
    <cellStyle name="20 % - Accent1 24 3 2" xfId="1263"/>
    <cellStyle name="20 % - Accent1 24 3 3" xfId="1264"/>
    <cellStyle name="20 % - Accent1 24 4" xfId="1265"/>
    <cellStyle name="20 % - Accent1 24 5" xfId="1266"/>
    <cellStyle name="20 % - Accent1 25" xfId="1267"/>
    <cellStyle name="20 % - Accent1 25 2" xfId="1268"/>
    <cellStyle name="20 % - Accent1 25 2 2" xfId="1269"/>
    <cellStyle name="20 % - Accent1 25 2 3" xfId="1270"/>
    <cellStyle name="20 % - Accent1 25 3" xfId="1271"/>
    <cellStyle name="20 % - Accent1 25 3 2" xfId="1272"/>
    <cellStyle name="20 % - Accent1 25 3 3" xfId="1273"/>
    <cellStyle name="20 % - Accent1 25 4" xfId="1274"/>
    <cellStyle name="20 % - Accent1 25 5" xfId="1275"/>
    <cellStyle name="20 % - Accent1 26" xfId="1276"/>
    <cellStyle name="20 % - Accent1 26 2" xfId="1277"/>
    <cellStyle name="20 % - Accent1 26 2 2" xfId="1278"/>
    <cellStyle name="20 % - Accent1 26 2 3" xfId="1279"/>
    <cellStyle name="20 % - Accent1 26 3" xfId="1280"/>
    <cellStyle name="20 % - Accent1 26 3 2" xfId="1281"/>
    <cellStyle name="20 % - Accent1 26 3 3" xfId="1282"/>
    <cellStyle name="20 % - Accent1 26 4" xfId="1283"/>
    <cellStyle name="20 % - Accent1 26 5" xfId="1284"/>
    <cellStyle name="20 % - Accent1 27" xfId="1285"/>
    <cellStyle name="20 % - Accent1 27 2" xfId="1286"/>
    <cellStyle name="20 % - Accent1 27 2 2" xfId="1287"/>
    <cellStyle name="20 % - Accent1 27 2 3" xfId="1288"/>
    <cellStyle name="20 % - Accent1 27 3" xfId="1289"/>
    <cellStyle name="20 % - Accent1 27 3 2" xfId="1290"/>
    <cellStyle name="20 % - Accent1 27 3 3" xfId="1291"/>
    <cellStyle name="20 % - Accent1 27 4" xfId="1292"/>
    <cellStyle name="20 % - Accent1 27 5" xfId="1293"/>
    <cellStyle name="20 % - Accent1 28" xfId="1294"/>
    <cellStyle name="20 % - Accent1 28 2" xfId="1295"/>
    <cellStyle name="20 % - Accent1 28 2 2" xfId="1296"/>
    <cellStyle name="20 % - Accent1 28 2 3" xfId="1297"/>
    <cellStyle name="20 % - Accent1 28 3" xfId="1298"/>
    <cellStyle name="20 % - Accent1 28 3 2" xfId="1299"/>
    <cellStyle name="20 % - Accent1 28 3 3" xfId="1300"/>
    <cellStyle name="20 % - Accent1 28 4" xfId="1301"/>
    <cellStyle name="20 % - Accent1 28 5" xfId="1302"/>
    <cellStyle name="20 % - Accent1 29" xfId="1303"/>
    <cellStyle name="20 % - Accent1 29 2" xfId="1304"/>
    <cellStyle name="20 % - Accent1 29 2 2" xfId="1305"/>
    <cellStyle name="20 % - Accent1 29 2 3" xfId="1306"/>
    <cellStyle name="20 % - Accent1 29 3" xfId="1307"/>
    <cellStyle name="20 % - Accent1 29 3 2" xfId="1308"/>
    <cellStyle name="20 % - Accent1 29 3 3" xfId="1309"/>
    <cellStyle name="20 % - Accent1 29 4" xfId="1310"/>
    <cellStyle name="20 % - Accent1 29 5" xfId="1311"/>
    <cellStyle name="20 % - Accent1 3" xfId="113"/>
    <cellStyle name="20 % - Accent1 3 2" xfId="114"/>
    <cellStyle name="20 % - Accent1 3 2 2" xfId="115"/>
    <cellStyle name="20 % - Accent1 3 2 3" xfId="1312"/>
    <cellStyle name="20 % - Accent1 3 3" xfId="116"/>
    <cellStyle name="20 % - Accent1 3 3 2" xfId="1313"/>
    <cellStyle name="20 % - Accent1 3 3 3" xfId="1314"/>
    <cellStyle name="20 % - Accent1 3 4" xfId="1315"/>
    <cellStyle name="20 % - Accent1 3 5" xfId="1316"/>
    <cellStyle name="20 % - Accent1 30" xfId="1317"/>
    <cellStyle name="20 % - Accent1 30 2" xfId="1318"/>
    <cellStyle name="20 % - Accent1 30 2 2" xfId="1319"/>
    <cellStyle name="20 % - Accent1 30 2 3" xfId="1320"/>
    <cellStyle name="20 % - Accent1 30 3" xfId="1321"/>
    <cellStyle name="20 % - Accent1 30 3 2" xfId="1322"/>
    <cellStyle name="20 % - Accent1 30 3 3" xfId="1323"/>
    <cellStyle name="20 % - Accent1 30 4" xfId="1324"/>
    <cellStyle name="20 % - Accent1 30 5" xfId="1325"/>
    <cellStyle name="20 % - Accent1 31" xfId="1326"/>
    <cellStyle name="20 % - Accent1 31 2" xfId="1327"/>
    <cellStyle name="20 % - Accent1 31 2 2" xfId="1328"/>
    <cellStyle name="20 % - Accent1 31 2 3" xfId="1329"/>
    <cellStyle name="20 % - Accent1 31 3" xfId="1330"/>
    <cellStyle name="20 % - Accent1 31 3 2" xfId="1331"/>
    <cellStyle name="20 % - Accent1 31 3 3" xfId="1332"/>
    <cellStyle name="20 % - Accent1 31 4" xfId="1333"/>
    <cellStyle name="20 % - Accent1 31 5" xfId="1334"/>
    <cellStyle name="20 % - Accent1 32" xfId="1335"/>
    <cellStyle name="20 % - Accent1 32 2" xfId="1336"/>
    <cellStyle name="20 % - Accent1 32 2 2" xfId="1337"/>
    <cellStyle name="20 % - Accent1 32 2 3" xfId="1338"/>
    <cellStyle name="20 % - Accent1 32 3" xfId="1339"/>
    <cellStyle name="20 % - Accent1 32 3 2" xfId="1340"/>
    <cellStyle name="20 % - Accent1 32 3 3" xfId="1341"/>
    <cellStyle name="20 % - Accent1 32 4" xfId="1342"/>
    <cellStyle name="20 % - Accent1 32 5" xfId="1343"/>
    <cellStyle name="20 % - Accent1 33" xfId="1344"/>
    <cellStyle name="20 % - Accent1 33 2" xfId="1345"/>
    <cellStyle name="20 % - Accent1 33 2 2" xfId="1346"/>
    <cellStyle name="20 % - Accent1 33 2 3" xfId="1347"/>
    <cellStyle name="20 % - Accent1 33 3" xfId="1348"/>
    <cellStyle name="20 % - Accent1 33 3 2" xfId="1349"/>
    <cellStyle name="20 % - Accent1 33 3 3" xfId="1350"/>
    <cellStyle name="20 % - Accent1 33 4" xfId="1351"/>
    <cellStyle name="20 % - Accent1 33 5" xfId="1352"/>
    <cellStyle name="20 % - Accent1 34" xfId="1353"/>
    <cellStyle name="20 % - Accent1 34 2" xfId="1354"/>
    <cellStyle name="20 % - Accent1 34 2 2" xfId="1355"/>
    <cellStyle name="20 % - Accent1 34 2 3" xfId="1356"/>
    <cellStyle name="20 % - Accent1 34 3" xfId="1357"/>
    <cellStyle name="20 % - Accent1 34 3 2" xfId="1358"/>
    <cellStyle name="20 % - Accent1 34 3 3" xfId="1359"/>
    <cellStyle name="20 % - Accent1 34 4" xfId="1360"/>
    <cellStyle name="20 % - Accent1 34 5" xfId="1361"/>
    <cellStyle name="20 % - Accent1 35" xfId="1362"/>
    <cellStyle name="20 % - Accent1 35 2" xfId="1363"/>
    <cellStyle name="20 % - Accent1 35 2 2" xfId="1364"/>
    <cellStyle name="20 % - Accent1 35 2 3" xfId="1365"/>
    <cellStyle name="20 % - Accent1 35 3" xfId="1366"/>
    <cellStyle name="20 % - Accent1 35 3 2" xfId="1367"/>
    <cellStyle name="20 % - Accent1 35 3 3" xfId="1368"/>
    <cellStyle name="20 % - Accent1 35 4" xfId="1369"/>
    <cellStyle name="20 % - Accent1 35 5" xfId="1370"/>
    <cellStyle name="20 % - Accent1 36" xfId="1371"/>
    <cellStyle name="20 % - Accent1 36 2" xfId="1372"/>
    <cellStyle name="20 % - Accent1 36 2 2" xfId="1373"/>
    <cellStyle name="20 % - Accent1 36 2 3" xfId="1374"/>
    <cellStyle name="20 % - Accent1 36 3" xfId="1375"/>
    <cellStyle name="20 % - Accent1 36 3 2" xfId="1376"/>
    <cellStyle name="20 % - Accent1 36 3 3" xfId="1377"/>
    <cellStyle name="20 % - Accent1 36 4" xfId="1378"/>
    <cellStyle name="20 % - Accent1 36 5" xfId="1379"/>
    <cellStyle name="20 % - Accent1 37" xfId="1380"/>
    <cellStyle name="20 % - Accent1 37 2" xfId="1381"/>
    <cellStyle name="20 % - Accent1 37 2 2" xfId="1382"/>
    <cellStyle name="20 % - Accent1 37 2 3" xfId="1383"/>
    <cellStyle name="20 % - Accent1 37 3" xfId="1384"/>
    <cellStyle name="20 % - Accent1 37 3 2" xfId="1385"/>
    <cellStyle name="20 % - Accent1 37 3 3" xfId="1386"/>
    <cellStyle name="20 % - Accent1 37 4" xfId="1387"/>
    <cellStyle name="20 % - Accent1 37 5" xfId="1388"/>
    <cellStyle name="20 % - Accent1 38" xfId="1389"/>
    <cellStyle name="20 % - Accent1 38 2" xfId="1390"/>
    <cellStyle name="20 % - Accent1 38 2 2" xfId="1391"/>
    <cellStyle name="20 % - Accent1 38 2 3" xfId="1392"/>
    <cellStyle name="20 % - Accent1 38 3" xfId="1393"/>
    <cellStyle name="20 % - Accent1 38 3 2" xfId="1394"/>
    <cellStyle name="20 % - Accent1 38 3 3" xfId="1395"/>
    <cellStyle name="20 % - Accent1 38 4" xfId="1396"/>
    <cellStyle name="20 % - Accent1 38 5" xfId="1397"/>
    <cellStyle name="20 % - Accent1 39" xfId="1398"/>
    <cellStyle name="20 % - Accent1 39 2" xfId="1399"/>
    <cellStyle name="20 % - Accent1 39 2 2" xfId="1400"/>
    <cellStyle name="20 % - Accent1 39 2 3" xfId="1401"/>
    <cellStyle name="20 % - Accent1 39 3" xfId="1402"/>
    <cellStyle name="20 % - Accent1 39 3 2" xfId="1403"/>
    <cellStyle name="20 % - Accent1 39 3 3" xfId="1404"/>
    <cellStyle name="20 % - Accent1 39 4" xfId="1405"/>
    <cellStyle name="20 % - Accent1 39 5" xfId="1406"/>
    <cellStyle name="20 % - Accent1 4" xfId="117"/>
    <cellStyle name="20 % - Accent1 4 2" xfId="118"/>
    <cellStyle name="20 % - Accent1 4 2 2" xfId="119"/>
    <cellStyle name="20 % - Accent1 4 2 3" xfId="1407"/>
    <cellStyle name="20 % - Accent1 4 3" xfId="120"/>
    <cellStyle name="20 % - Accent1 4 3 2" xfId="1408"/>
    <cellStyle name="20 % - Accent1 4 3 3" xfId="1409"/>
    <cellStyle name="20 % - Accent1 4 4" xfId="1410"/>
    <cellStyle name="20 % - Accent1 4 5" xfId="1411"/>
    <cellStyle name="20 % - Accent1 40" xfId="1412"/>
    <cellStyle name="20 % - Accent1 40 2" xfId="1413"/>
    <cellStyle name="20 % - Accent1 40 2 2" xfId="1414"/>
    <cellStyle name="20 % - Accent1 40 2 3" xfId="1415"/>
    <cellStyle name="20 % - Accent1 40 3" xfId="1416"/>
    <cellStyle name="20 % - Accent1 40 3 2" xfId="1417"/>
    <cellStyle name="20 % - Accent1 40 3 3" xfId="1418"/>
    <cellStyle name="20 % - Accent1 40 4" xfId="1419"/>
    <cellStyle name="20 % - Accent1 40 5" xfId="1420"/>
    <cellStyle name="20 % - Accent1 41" xfId="1421"/>
    <cellStyle name="20 % - Accent1 41 2" xfId="1422"/>
    <cellStyle name="20 % - Accent1 41 2 2" xfId="1423"/>
    <cellStyle name="20 % - Accent1 41 2 3" xfId="1424"/>
    <cellStyle name="20 % - Accent1 41 3" xfId="1425"/>
    <cellStyle name="20 % - Accent1 41 3 2" xfId="1426"/>
    <cellStyle name="20 % - Accent1 41 3 3" xfId="1427"/>
    <cellStyle name="20 % - Accent1 41 4" xfId="1428"/>
    <cellStyle name="20 % - Accent1 41 5" xfId="1429"/>
    <cellStyle name="20 % - Accent1 42" xfId="1430"/>
    <cellStyle name="20 % - Accent1 42 2" xfId="1431"/>
    <cellStyle name="20 % - Accent1 42 2 2" xfId="1432"/>
    <cellStyle name="20 % - Accent1 42 2 3" xfId="1433"/>
    <cellStyle name="20 % - Accent1 42 3" xfId="1434"/>
    <cellStyle name="20 % - Accent1 42 3 2" xfId="1435"/>
    <cellStyle name="20 % - Accent1 42 3 3" xfId="1436"/>
    <cellStyle name="20 % - Accent1 42 4" xfId="1437"/>
    <cellStyle name="20 % - Accent1 42 5" xfId="1438"/>
    <cellStyle name="20 % - Accent1 43" xfId="1439"/>
    <cellStyle name="20 % - Accent1 43 2" xfId="1440"/>
    <cellStyle name="20 % - Accent1 43 2 2" xfId="1441"/>
    <cellStyle name="20 % - Accent1 43 2 3" xfId="1442"/>
    <cellStyle name="20 % - Accent1 43 3" xfId="1443"/>
    <cellStyle name="20 % - Accent1 43 3 2" xfId="1444"/>
    <cellStyle name="20 % - Accent1 43 3 3" xfId="1445"/>
    <cellStyle name="20 % - Accent1 43 4" xfId="1446"/>
    <cellStyle name="20 % - Accent1 43 5" xfId="1447"/>
    <cellStyle name="20 % - Accent1 44" xfId="1448"/>
    <cellStyle name="20 % - Accent1 44 2" xfId="1449"/>
    <cellStyle name="20 % - Accent1 44 2 2" xfId="1450"/>
    <cellStyle name="20 % - Accent1 44 2 3" xfId="1451"/>
    <cellStyle name="20 % - Accent1 44 3" xfId="1452"/>
    <cellStyle name="20 % - Accent1 44 3 2" xfId="1453"/>
    <cellStyle name="20 % - Accent1 44 3 3" xfId="1454"/>
    <cellStyle name="20 % - Accent1 44 4" xfId="1455"/>
    <cellStyle name="20 % - Accent1 44 5" xfId="1456"/>
    <cellStyle name="20 % - Accent1 45" xfId="1457"/>
    <cellStyle name="20 % - Accent1 45 2" xfId="1458"/>
    <cellStyle name="20 % - Accent1 45 2 2" xfId="1459"/>
    <cellStyle name="20 % - Accent1 45 2 3" xfId="1460"/>
    <cellStyle name="20 % - Accent1 45 3" xfId="1461"/>
    <cellStyle name="20 % - Accent1 45 3 2" xfId="1462"/>
    <cellStyle name="20 % - Accent1 45 3 3" xfId="1463"/>
    <cellStyle name="20 % - Accent1 45 4" xfId="1464"/>
    <cellStyle name="20 % - Accent1 45 5" xfId="1465"/>
    <cellStyle name="20 % - Accent1 46" xfId="1466"/>
    <cellStyle name="20 % - Accent1 46 2" xfId="1467"/>
    <cellStyle name="20 % - Accent1 46 2 2" xfId="1468"/>
    <cellStyle name="20 % - Accent1 46 2 3" xfId="1469"/>
    <cellStyle name="20 % - Accent1 46 3" xfId="1470"/>
    <cellStyle name="20 % - Accent1 46 3 2" xfId="1471"/>
    <cellStyle name="20 % - Accent1 46 3 3" xfId="1472"/>
    <cellStyle name="20 % - Accent1 46 4" xfId="1473"/>
    <cellStyle name="20 % - Accent1 46 5" xfId="1474"/>
    <cellStyle name="20 % - Accent1 47" xfId="1475"/>
    <cellStyle name="20 % - Accent1 47 2" xfId="1476"/>
    <cellStyle name="20 % - Accent1 47 2 2" xfId="1477"/>
    <cellStyle name="20 % - Accent1 47 2 3" xfId="1478"/>
    <cellStyle name="20 % - Accent1 47 3" xfId="1479"/>
    <cellStyle name="20 % - Accent1 47 3 2" xfId="1480"/>
    <cellStyle name="20 % - Accent1 47 3 3" xfId="1481"/>
    <cellStyle name="20 % - Accent1 47 4" xfId="1482"/>
    <cellStyle name="20 % - Accent1 47 5" xfId="1483"/>
    <cellStyle name="20 % - Accent1 48" xfId="1484"/>
    <cellStyle name="20 % - Accent1 48 2" xfId="1485"/>
    <cellStyle name="20 % - Accent1 48 2 2" xfId="1486"/>
    <cellStyle name="20 % - Accent1 48 2 3" xfId="1487"/>
    <cellStyle name="20 % - Accent1 48 3" xfId="1488"/>
    <cellStyle name="20 % - Accent1 48 3 2" xfId="1489"/>
    <cellStyle name="20 % - Accent1 48 3 3" xfId="1490"/>
    <cellStyle name="20 % - Accent1 48 4" xfId="1491"/>
    <cellStyle name="20 % - Accent1 48 5" xfId="1492"/>
    <cellStyle name="20 % - Accent1 49" xfId="1493"/>
    <cellStyle name="20 % - Accent1 49 2" xfId="1494"/>
    <cellStyle name="20 % - Accent1 49 2 2" xfId="1495"/>
    <cellStyle name="20 % - Accent1 49 2 3" xfId="1496"/>
    <cellStyle name="20 % - Accent1 49 3" xfId="1497"/>
    <cellStyle name="20 % - Accent1 49 3 2" xfId="1498"/>
    <cellStyle name="20 % - Accent1 49 3 3" xfId="1499"/>
    <cellStyle name="20 % - Accent1 49 4" xfId="1500"/>
    <cellStyle name="20 % - Accent1 49 5" xfId="1501"/>
    <cellStyle name="20 % - Accent1 5" xfId="121"/>
    <cellStyle name="20 % - Accent1 5 2" xfId="122"/>
    <cellStyle name="20 % - Accent1 5 2 2" xfId="123"/>
    <cellStyle name="20 % - Accent1 5 2 3" xfId="1502"/>
    <cellStyle name="20 % - Accent1 5 3" xfId="124"/>
    <cellStyle name="20 % - Accent1 5 3 2" xfId="1503"/>
    <cellStyle name="20 % - Accent1 5 3 3" xfId="1504"/>
    <cellStyle name="20 % - Accent1 5 4" xfId="1505"/>
    <cellStyle name="20 % - Accent1 5 5" xfId="1506"/>
    <cellStyle name="20 % - Accent1 50" xfId="1507"/>
    <cellStyle name="20 % - Accent1 50 2" xfId="1508"/>
    <cellStyle name="20 % - Accent1 50 2 2" xfId="1509"/>
    <cellStyle name="20 % - Accent1 50 2 3" xfId="1510"/>
    <cellStyle name="20 % - Accent1 50 3" xfId="1511"/>
    <cellStyle name="20 % - Accent1 50 3 2" xfId="1512"/>
    <cellStyle name="20 % - Accent1 50 3 3" xfId="1513"/>
    <cellStyle name="20 % - Accent1 50 4" xfId="1514"/>
    <cellStyle name="20 % - Accent1 50 5" xfId="1515"/>
    <cellStyle name="20 % - Accent1 51" xfId="1516"/>
    <cellStyle name="20 % - Accent1 51 2" xfId="1517"/>
    <cellStyle name="20 % - Accent1 51 2 2" xfId="1518"/>
    <cellStyle name="20 % - Accent1 51 2 3" xfId="1519"/>
    <cellStyle name="20 % - Accent1 51 3" xfId="1520"/>
    <cellStyle name="20 % - Accent1 51 3 2" xfId="1521"/>
    <cellStyle name="20 % - Accent1 51 3 3" xfId="1522"/>
    <cellStyle name="20 % - Accent1 51 4" xfId="1523"/>
    <cellStyle name="20 % - Accent1 51 5" xfId="1524"/>
    <cellStyle name="20 % - Accent1 52" xfId="1525"/>
    <cellStyle name="20 % - Accent1 52 2" xfId="1526"/>
    <cellStyle name="20 % - Accent1 52 2 2" xfId="1527"/>
    <cellStyle name="20 % - Accent1 52 2 3" xfId="1528"/>
    <cellStyle name="20 % - Accent1 52 3" xfId="1529"/>
    <cellStyle name="20 % - Accent1 52 3 2" xfId="1530"/>
    <cellStyle name="20 % - Accent1 52 3 3" xfId="1531"/>
    <cellStyle name="20 % - Accent1 52 4" xfId="1532"/>
    <cellStyle name="20 % - Accent1 52 5" xfId="1533"/>
    <cellStyle name="20 % - Accent1 53" xfId="1534"/>
    <cellStyle name="20 % - Accent1 53 2" xfId="1535"/>
    <cellStyle name="20 % - Accent1 53 2 2" xfId="1536"/>
    <cellStyle name="20 % - Accent1 53 2 3" xfId="1537"/>
    <cellStyle name="20 % - Accent1 53 3" xfId="1538"/>
    <cellStyle name="20 % - Accent1 53 3 2" xfId="1539"/>
    <cellStyle name="20 % - Accent1 53 3 3" xfId="1540"/>
    <cellStyle name="20 % - Accent1 53 4" xfId="1541"/>
    <cellStyle name="20 % - Accent1 53 5" xfId="1542"/>
    <cellStyle name="20 % - Accent1 54" xfId="1543"/>
    <cellStyle name="20 % - Accent1 54 2" xfId="1544"/>
    <cellStyle name="20 % - Accent1 54 2 2" xfId="1545"/>
    <cellStyle name="20 % - Accent1 54 2 3" xfId="1546"/>
    <cellStyle name="20 % - Accent1 54 3" xfId="1547"/>
    <cellStyle name="20 % - Accent1 54 3 2" xfId="1548"/>
    <cellStyle name="20 % - Accent1 54 3 3" xfId="1549"/>
    <cellStyle name="20 % - Accent1 54 4" xfId="1550"/>
    <cellStyle name="20 % - Accent1 54 5" xfId="1551"/>
    <cellStyle name="20 % - Accent1 55" xfId="1552"/>
    <cellStyle name="20 % - Accent1 55 2" xfId="1553"/>
    <cellStyle name="20 % - Accent1 55 2 2" xfId="1554"/>
    <cellStyle name="20 % - Accent1 55 2 3" xfId="1555"/>
    <cellStyle name="20 % - Accent1 55 3" xfId="1556"/>
    <cellStyle name="20 % - Accent1 55 3 2" xfId="1557"/>
    <cellStyle name="20 % - Accent1 55 3 3" xfId="1558"/>
    <cellStyle name="20 % - Accent1 55 4" xfId="1559"/>
    <cellStyle name="20 % - Accent1 55 5" xfId="1560"/>
    <cellStyle name="20 % - Accent1 56" xfId="1561"/>
    <cellStyle name="20 % - Accent1 56 2" xfId="1562"/>
    <cellStyle name="20 % - Accent1 56 2 2" xfId="1563"/>
    <cellStyle name="20 % - Accent1 56 2 3" xfId="1564"/>
    <cellStyle name="20 % - Accent1 56 3" xfId="1565"/>
    <cellStyle name="20 % - Accent1 56 3 2" xfId="1566"/>
    <cellStyle name="20 % - Accent1 56 3 3" xfId="1567"/>
    <cellStyle name="20 % - Accent1 56 4" xfId="1568"/>
    <cellStyle name="20 % - Accent1 56 5" xfId="1569"/>
    <cellStyle name="20 % - Accent1 57" xfId="1570"/>
    <cellStyle name="20 % - Accent1 57 2" xfId="1571"/>
    <cellStyle name="20 % - Accent1 57 2 2" xfId="1572"/>
    <cellStyle name="20 % - Accent1 57 2 3" xfId="1573"/>
    <cellStyle name="20 % - Accent1 57 3" xfId="1574"/>
    <cellStyle name="20 % - Accent1 57 3 2" xfId="1575"/>
    <cellStyle name="20 % - Accent1 57 3 3" xfId="1576"/>
    <cellStyle name="20 % - Accent1 57 4" xfId="1577"/>
    <cellStyle name="20 % - Accent1 57 5" xfId="1578"/>
    <cellStyle name="20 % - Accent1 58" xfId="1579"/>
    <cellStyle name="20 % - Accent1 58 2" xfId="1580"/>
    <cellStyle name="20 % - Accent1 58 2 2" xfId="1581"/>
    <cellStyle name="20 % - Accent1 58 2 3" xfId="1582"/>
    <cellStyle name="20 % - Accent1 58 3" xfId="1583"/>
    <cellStyle name="20 % - Accent1 58 3 2" xfId="1584"/>
    <cellStyle name="20 % - Accent1 58 3 3" xfId="1585"/>
    <cellStyle name="20 % - Accent1 58 4" xfId="1586"/>
    <cellStyle name="20 % - Accent1 58 5" xfId="1587"/>
    <cellStyle name="20 % - Accent1 59" xfId="1588"/>
    <cellStyle name="20 % - Accent1 59 2" xfId="1589"/>
    <cellStyle name="20 % - Accent1 59 2 2" xfId="1590"/>
    <cellStyle name="20 % - Accent1 59 2 3" xfId="1591"/>
    <cellStyle name="20 % - Accent1 59 3" xfId="1592"/>
    <cellStyle name="20 % - Accent1 59 3 2" xfId="1593"/>
    <cellStyle name="20 % - Accent1 59 3 3" xfId="1594"/>
    <cellStyle name="20 % - Accent1 59 4" xfId="1595"/>
    <cellStyle name="20 % - Accent1 59 5" xfId="1596"/>
    <cellStyle name="20 % - Accent1 6" xfId="125"/>
    <cellStyle name="20 % - Accent1 6 2" xfId="126"/>
    <cellStyle name="20 % - Accent1 6 2 2" xfId="127"/>
    <cellStyle name="20 % - Accent1 6 2 3" xfId="1597"/>
    <cellStyle name="20 % - Accent1 6 3" xfId="128"/>
    <cellStyle name="20 % - Accent1 6 3 2" xfId="1598"/>
    <cellStyle name="20 % - Accent1 6 3 3" xfId="1599"/>
    <cellStyle name="20 % - Accent1 6 4" xfId="1600"/>
    <cellStyle name="20 % - Accent1 6 5" xfId="1601"/>
    <cellStyle name="20 % - Accent1 60" xfId="1602"/>
    <cellStyle name="20 % - Accent1 60 2" xfId="1603"/>
    <cellStyle name="20 % - Accent1 60 2 2" xfId="1604"/>
    <cellStyle name="20 % - Accent1 60 2 3" xfId="1605"/>
    <cellStyle name="20 % - Accent1 60 3" xfId="1606"/>
    <cellStyle name="20 % - Accent1 60 3 2" xfId="1607"/>
    <cellStyle name="20 % - Accent1 60 3 3" xfId="1608"/>
    <cellStyle name="20 % - Accent1 60 4" xfId="1609"/>
    <cellStyle name="20 % - Accent1 60 5" xfId="1610"/>
    <cellStyle name="20 % - Accent1 61" xfId="1611"/>
    <cellStyle name="20 % - Accent1 61 2" xfId="1612"/>
    <cellStyle name="20 % - Accent1 61 2 2" xfId="1613"/>
    <cellStyle name="20 % - Accent1 61 2 3" xfId="1614"/>
    <cellStyle name="20 % - Accent1 61 3" xfId="1615"/>
    <cellStyle name="20 % - Accent1 61 3 2" xfId="1616"/>
    <cellStyle name="20 % - Accent1 61 3 3" xfId="1617"/>
    <cellStyle name="20 % - Accent1 61 4" xfId="1618"/>
    <cellStyle name="20 % - Accent1 61 5" xfId="1619"/>
    <cellStyle name="20 % - Accent1 62" xfId="1620"/>
    <cellStyle name="20 % - Accent1 62 2" xfId="1621"/>
    <cellStyle name="20 % - Accent1 62 2 2" xfId="1622"/>
    <cellStyle name="20 % - Accent1 62 2 3" xfId="1623"/>
    <cellStyle name="20 % - Accent1 62 3" xfId="1624"/>
    <cellStyle name="20 % - Accent1 62 3 2" xfId="1625"/>
    <cellStyle name="20 % - Accent1 62 3 3" xfId="1626"/>
    <cellStyle name="20 % - Accent1 62 4" xfId="1627"/>
    <cellStyle name="20 % - Accent1 62 5" xfId="1628"/>
    <cellStyle name="20 % - Accent1 63" xfId="1629"/>
    <cellStyle name="20 % - Accent1 63 2" xfId="1630"/>
    <cellStyle name="20 % - Accent1 63 2 2" xfId="1631"/>
    <cellStyle name="20 % - Accent1 63 2 3" xfId="1632"/>
    <cellStyle name="20 % - Accent1 63 3" xfId="1633"/>
    <cellStyle name="20 % - Accent1 63 3 2" xfId="1634"/>
    <cellStyle name="20 % - Accent1 63 3 3" xfId="1635"/>
    <cellStyle name="20 % - Accent1 63 4" xfId="1636"/>
    <cellStyle name="20 % - Accent1 63 5" xfId="1637"/>
    <cellStyle name="20 % - Accent1 64" xfId="1638"/>
    <cellStyle name="20 % - Accent1 64 2" xfId="1639"/>
    <cellStyle name="20 % - Accent1 64 2 2" xfId="1640"/>
    <cellStyle name="20 % - Accent1 64 2 3" xfId="1641"/>
    <cellStyle name="20 % - Accent1 64 3" xfId="1642"/>
    <cellStyle name="20 % - Accent1 64 3 2" xfId="1643"/>
    <cellStyle name="20 % - Accent1 64 3 3" xfId="1644"/>
    <cellStyle name="20 % - Accent1 64 4" xfId="1645"/>
    <cellStyle name="20 % - Accent1 64 5" xfId="1646"/>
    <cellStyle name="20 % - Accent1 65" xfId="1647"/>
    <cellStyle name="20 % - Accent1 65 2" xfId="1648"/>
    <cellStyle name="20 % - Accent1 65 2 2" xfId="1649"/>
    <cellStyle name="20 % - Accent1 65 2 3" xfId="1650"/>
    <cellStyle name="20 % - Accent1 65 3" xfId="1651"/>
    <cellStyle name="20 % - Accent1 65 3 2" xfId="1652"/>
    <cellStyle name="20 % - Accent1 65 3 3" xfId="1653"/>
    <cellStyle name="20 % - Accent1 65 4" xfId="1654"/>
    <cellStyle name="20 % - Accent1 65 5" xfId="1655"/>
    <cellStyle name="20 % - Accent1 66" xfId="1656"/>
    <cellStyle name="20 % - Accent1 66 2" xfId="1657"/>
    <cellStyle name="20 % - Accent1 66 2 2" xfId="1658"/>
    <cellStyle name="20 % - Accent1 66 2 3" xfId="1659"/>
    <cellStyle name="20 % - Accent1 66 3" xfId="1660"/>
    <cellStyle name="20 % - Accent1 66 3 2" xfId="1661"/>
    <cellStyle name="20 % - Accent1 66 3 3" xfId="1662"/>
    <cellStyle name="20 % - Accent1 66 4" xfId="1663"/>
    <cellStyle name="20 % - Accent1 66 5" xfId="1664"/>
    <cellStyle name="20 % - Accent1 67" xfId="1665"/>
    <cellStyle name="20 % - Accent1 67 2" xfId="1666"/>
    <cellStyle name="20 % - Accent1 67 2 2" xfId="1667"/>
    <cellStyle name="20 % - Accent1 67 2 3" xfId="1668"/>
    <cellStyle name="20 % - Accent1 67 3" xfId="1669"/>
    <cellStyle name="20 % - Accent1 67 3 2" xfId="1670"/>
    <cellStyle name="20 % - Accent1 67 3 3" xfId="1671"/>
    <cellStyle name="20 % - Accent1 67 4" xfId="1672"/>
    <cellStyle name="20 % - Accent1 67 5" xfId="1673"/>
    <cellStyle name="20 % - Accent1 68" xfId="1674"/>
    <cellStyle name="20 % - Accent1 68 2" xfId="1675"/>
    <cellStyle name="20 % - Accent1 68 2 2" xfId="1676"/>
    <cellStyle name="20 % - Accent1 68 2 3" xfId="1677"/>
    <cellStyle name="20 % - Accent1 68 3" xfId="1678"/>
    <cellStyle name="20 % - Accent1 68 3 2" xfId="1679"/>
    <cellStyle name="20 % - Accent1 68 3 3" xfId="1680"/>
    <cellStyle name="20 % - Accent1 68 4" xfId="1681"/>
    <cellStyle name="20 % - Accent1 68 5" xfId="1682"/>
    <cellStyle name="20 % - Accent1 69" xfId="1683"/>
    <cellStyle name="20 % - Accent1 69 2" xfId="1684"/>
    <cellStyle name="20 % - Accent1 69 2 2" xfId="1685"/>
    <cellStyle name="20 % - Accent1 69 2 3" xfId="1686"/>
    <cellStyle name="20 % - Accent1 69 3" xfId="1687"/>
    <cellStyle name="20 % - Accent1 69 3 2" xfId="1688"/>
    <cellStyle name="20 % - Accent1 69 3 3" xfId="1689"/>
    <cellStyle name="20 % - Accent1 69 4" xfId="1690"/>
    <cellStyle name="20 % - Accent1 69 5" xfId="1691"/>
    <cellStyle name="20 % - Accent1 7" xfId="129"/>
    <cellStyle name="20 % - Accent1 7 2" xfId="130"/>
    <cellStyle name="20 % - Accent1 7 2 2" xfId="131"/>
    <cellStyle name="20 % - Accent1 7 2 3" xfId="1692"/>
    <cellStyle name="20 % - Accent1 7 3" xfId="132"/>
    <cellStyle name="20 % - Accent1 7 3 2" xfId="1693"/>
    <cellStyle name="20 % - Accent1 7 3 3" xfId="1694"/>
    <cellStyle name="20 % - Accent1 7 4" xfId="1695"/>
    <cellStyle name="20 % - Accent1 7 5" xfId="1696"/>
    <cellStyle name="20 % - Accent1 70" xfId="1697"/>
    <cellStyle name="20 % - Accent1 70 2" xfId="1698"/>
    <cellStyle name="20 % - Accent1 70 2 2" xfId="1699"/>
    <cellStyle name="20 % - Accent1 70 2 3" xfId="1700"/>
    <cellStyle name="20 % - Accent1 70 3" xfId="1701"/>
    <cellStyle name="20 % - Accent1 70 3 2" xfId="1702"/>
    <cellStyle name="20 % - Accent1 70 3 3" xfId="1703"/>
    <cellStyle name="20 % - Accent1 70 4" xfId="1704"/>
    <cellStyle name="20 % - Accent1 70 5" xfId="1705"/>
    <cellStyle name="20 % - Accent1 71" xfId="1706"/>
    <cellStyle name="20 % - Accent1 71 2" xfId="1707"/>
    <cellStyle name="20 % - Accent1 71 2 2" xfId="1708"/>
    <cellStyle name="20 % - Accent1 71 2 3" xfId="1709"/>
    <cellStyle name="20 % - Accent1 71 3" xfId="1710"/>
    <cellStyle name="20 % - Accent1 71 3 2" xfId="1711"/>
    <cellStyle name="20 % - Accent1 71 3 3" xfId="1712"/>
    <cellStyle name="20 % - Accent1 71 4" xfId="1713"/>
    <cellStyle name="20 % - Accent1 71 5" xfId="1714"/>
    <cellStyle name="20 % - Accent1 72" xfId="1715"/>
    <cellStyle name="20 % - Accent1 72 2" xfId="1716"/>
    <cellStyle name="20 % - Accent1 72 2 2" xfId="1717"/>
    <cellStyle name="20 % - Accent1 72 2 3" xfId="1718"/>
    <cellStyle name="20 % - Accent1 72 3" xfId="1719"/>
    <cellStyle name="20 % - Accent1 72 3 2" xfId="1720"/>
    <cellStyle name="20 % - Accent1 72 3 3" xfId="1721"/>
    <cellStyle name="20 % - Accent1 72 4" xfId="1722"/>
    <cellStyle name="20 % - Accent1 72 5" xfId="1723"/>
    <cellStyle name="20 % - Accent1 73" xfId="1724"/>
    <cellStyle name="20 % - Accent1 73 2" xfId="1725"/>
    <cellStyle name="20 % - Accent1 73 2 2" xfId="1726"/>
    <cellStyle name="20 % - Accent1 73 2 3" xfId="1727"/>
    <cellStyle name="20 % - Accent1 73 3" xfId="1728"/>
    <cellStyle name="20 % - Accent1 73 3 2" xfId="1729"/>
    <cellStyle name="20 % - Accent1 73 3 3" xfId="1730"/>
    <cellStyle name="20 % - Accent1 73 4" xfId="1731"/>
    <cellStyle name="20 % - Accent1 73 5" xfId="1732"/>
    <cellStyle name="20 % - Accent1 74" xfId="1733"/>
    <cellStyle name="20 % - Accent1 74 2" xfId="1734"/>
    <cellStyle name="20 % - Accent1 74 3" xfId="1735"/>
    <cellStyle name="20 % - Accent1 75" xfId="1736"/>
    <cellStyle name="20 % - Accent1 75 2" xfId="1737"/>
    <cellStyle name="20 % - Accent1 75 3" xfId="1738"/>
    <cellStyle name="20 % - Accent1 76" xfId="1739"/>
    <cellStyle name="20 % - Accent1 76 2" xfId="1740"/>
    <cellStyle name="20 % - Accent1 76 3" xfId="1741"/>
    <cellStyle name="20 % - Accent1 77" xfId="1742"/>
    <cellStyle name="20 % - Accent1 77 2" xfId="1743"/>
    <cellStyle name="20 % - Accent1 77 3" xfId="1744"/>
    <cellStyle name="20 % - Accent1 78" xfId="1745"/>
    <cellStyle name="20 % - Accent1 79" xfId="1746"/>
    <cellStyle name="20 % - Accent1 8" xfId="133"/>
    <cellStyle name="20 % - Accent1 8 2" xfId="134"/>
    <cellStyle name="20 % - Accent1 8 2 2" xfId="135"/>
    <cellStyle name="20 % - Accent1 8 2 3" xfId="1747"/>
    <cellStyle name="20 % - Accent1 8 3" xfId="136"/>
    <cellStyle name="20 % - Accent1 8 3 2" xfId="1748"/>
    <cellStyle name="20 % - Accent1 8 3 3" xfId="1749"/>
    <cellStyle name="20 % - Accent1 8 4" xfId="1750"/>
    <cellStyle name="20 % - Accent1 8 5" xfId="1751"/>
    <cellStyle name="20 % - Accent1 80" xfId="1752"/>
    <cellStyle name="20 % - Accent1 81" xfId="1753"/>
    <cellStyle name="20 % - Accent1 82" xfId="1754"/>
    <cellStyle name="20 % - Accent1 83" xfId="1755"/>
    <cellStyle name="20 % - Accent1 84" xfId="1756"/>
    <cellStyle name="20 % - Accent1 85" xfId="1757"/>
    <cellStyle name="20 % - Accent1 86" xfId="1758"/>
    <cellStyle name="20 % - Accent1 87" xfId="1759"/>
    <cellStyle name="20 % - Accent1 88" xfId="1760"/>
    <cellStyle name="20 % - Accent1 89" xfId="1761"/>
    <cellStyle name="20 % - Accent1 9" xfId="137"/>
    <cellStyle name="20 % - Accent1 9 2" xfId="138"/>
    <cellStyle name="20 % - Accent1 9 2 2" xfId="139"/>
    <cellStyle name="20 % - Accent1 9 2 3" xfId="1762"/>
    <cellStyle name="20 % - Accent1 9 3" xfId="140"/>
    <cellStyle name="20 % - Accent1 9 3 2" xfId="1763"/>
    <cellStyle name="20 % - Accent1 9 3 3" xfId="1764"/>
    <cellStyle name="20 % - Accent1 9 4" xfId="1765"/>
    <cellStyle name="20 % - Accent1 9 5" xfId="1766"/>
    <cellStyle name="20 % - Accent1 90" xfId="1767"/>
    <cellStyle name="20 % - Accent1 91" xfId="1768"/>
    <cellStyle name="20 % - Accent1 92" xfId="1769"/>
    <cellStyle name="20 % - Accent1 93" xfId="1770"/>
    <cellStyle name="20 % - Accent1 94" xfId="1771"/>
    <cellStyle name="20 % - Accent1 95" xfId="1772"/>
    <cellStyle name="20 % - Accent1 96" xfId="1773"/>
    <cellStyle name="20 % - Accent1 97" xfId="1774"/>
    <cellStyle name="20 % - Accent1 98" xfId="1775"/>
    <cellStyle name="20 % - Accent1 99" xfId="1776"/>
    <cellStyle name="20 % - Accent2 10" xfId="141"/>
    <cellStyle name="20 % - Accent2 10 2" xfId="142"/>
    <cellStyle name="20 % - Accent2 10 2 2" xfId="143"/>
    <cellStyle name="20 % - Accent2 10 2 3" xfId="1777"/>
    <cellStyle name="20 % - Accent2 10 3" xfId="144"/>
    <cellStyle name="20 % - Accent2 10 3 2" xfId="1778"/>
    <cellStyle name="20 % - Accent2 10 3 3" xfId="1779"/>
    <cellStyle name="20 % - Accent2 10 4" xfId="1780"/>
    <cellStyle name="20 % - Accent2 10 5" xfId="1781"/>
    <cellStyle name="20 % - Accent2 100" xfId="1782"/>
    <cellStyle name="20 % - Accent2 101" xfId="1783"/>
    <cellStyle name="20 % - Accent2 102" xfId="1784"/>
    <cellStyle name="20 % - Accent2 103" xfId="1785"/>
    <cellStyle name="20 % - Accent2 104" xfId="1786"/>
    <cellStyle name="20 % - Accent2 105" xfId="1787"/>
    <cellStyle name="20 % - Accent2 106" xfId="1788"/>
    <cellStyle name="20 % - Accent2 107" xfId="1789"/>
    <cellStyle name="20 % - Accent2 108" xfId="1790"/>
    <cellStyle name="20 % - Accent2 109" xfId="1791"/>
    <cellStyle name="20 % - Accent2 11" xfId="145"/>
    <cellStyle name="20 % - Accent2 11 2" xfId="146"/>
    <cellStyle name="20 % - Accent2 11 2 2" xfId="147"/>
    <cellStyle name="20 % - Accent2 11 2 3" xfId="1792"/>
    <cellStyle name="20 % - Accent2 11 3" xfId="148"/>
    <cellStyle name="20 % - Accent2 11 3 2" xfId="1793"/>
    <cellStyle name="20 % - Accent2 11 3 3" xfId="1794"/>
    <cellStyle name="20 % - Accent2 11 4" xfId="1795"/>
    <cellStyle name="20 % - Accent2 11 5" xfId="1796"/>
    <cellStyle name="20 % - Accent2 110" xfId="1797"/>
    <cellStyle name="20 % - Accent2 111" xfId="1798"/>
    <cellStyle name="20 % - Accent2 112" xfId="1799"/>
    <cellStyle name="20 % - Accent2 113" xfId="1800"/>
    <cellStyle name="20 % - Accent2 114" xfId="1801"/>
    <cellStyle name="20 % - Accent2 115" xfId="1802"/>
    <cellStyle name="20 % - Accent2 116" xfId="1803"/>
    <cellStyle name="20 % - Accent2 117" xfId="1804"/>
    <cellStyle name="20 % - Accent2 118" xfId="1805"/>
    <cellStyle name="20 % - Accent2 119" xfId="1806"/>
    <cellStyle name="20 % - Accent2 12" xfId="149"/>
    <cellStyle name="20 % - Accent2 12 2" xfId="150"/>
    <cellStyle name="20 % - Accent2 12 2 2" xfId="151"/>
    <cellStyle name="20 % - Accent2 12 2 3" xfId="1807"/>
    <cellStyle name="20 % - Accent2 12 3" xfId="152"/>
    <cellStyle name="20 % - Accent2 12 3 2" xfId="1808"/>
    <cellStyle name="20 % - Accent2 12 3 3" xfId="1809"/>
    <cellStyle name="20 % - Accent2 12 4" xfId="1810"/>
    <cellStyle name="20 % - Accent2 12 5" xfId="1811"/>
    <cellStyle name="20 % - Accent2 120" xfId="1812"/>
    <cellStyle name="20 % - Accent2 121" xfId="1813"/>
    <cellStyle name="20 % - Accent2 122" xfId="1814"/>
    <cellStyle name="20 % - Accent2 123" xfId="1815"/>
    <cellStyle name="20 % - Accent2 124" xfId="1816"/>
    <cellStyle name="20 % - Accent2 125" xfId="1817"/>
    <cellStyle name="20 % - Accent2 126" xfId="1818"/>
    <cellStyle name="20 % - Accent2 127" xfId="1819"/>
    <cellStyle name="20 % - Accent2 128" xfId="1820"/>
    <cellStyle name="20 % - Accent2 129" xfId="1821"/>
    <cellStyle name="20 % - Accent2 13" xfId="153"/>
    <cellStyle name="20 % - Accent2 13 2" xfId="154"/>
    <cellStyle name="20 % - Accent2 13 2 2" xfId="155"/>
    <cellStyle name="20 % - Accent2 13 2 3" xfId="1822"/>
    <cellStyle name="20 % - Accent2 13 3" xfId="156"/>
    <cellStyle name="20 % - Accent2 13 3 2" xfId="1823"/>
    <cellStyle name="20 % - Accent2 13 3 3" xfId="1824"/>
    <cellStyle name="20 % - Accent2 13 4" xfId="1825"/>
    <cellStyle name="20 % - Accent2 13 5" xfId="1826"/>
    <cellStyle name="20 % - Accent2 130" xfId="1827"/>
    <cellStyle name="20 % - Accent2 131" xfId="1828"/>
    <cellStyle name="20 % - Accent2 132" xfId="1829"/>
    <cellStyle name="20 % - Accent2 133" xfId="1830"/>
    <cellStyle name="20 % - Accent2 134" xfId="1831"/>
    <cellStyle name="20 % - Accent2 135" xfId="1832"/>
    <cellStyle name="20 % - Accent2 136" xfId="1833"/>
    <cellStyle name="20 % - Accent2 137" xfId="1834"/>
    <cellStyle name="20 % - Accent2 138" xfId="1835"/>
    <cellStyle name="20 % - Accent2 139" xfId="1836"/>
    <cellStyle name="20 % - Accent2 14" xfId="157"/>
    <cellStyle name="20 % - Accent2 14 2" xfId="158"/>
    <cellStyle name="20 % - Accent2 14 2 2" xfId="159"/>
    <cellStyle name="20 % - Accent2 14 2 3" xfId="1837"/>
    <cellStyle name="20 % - Accent2 14 3" xfId="160"/>
    <cellStyle name="20 % - Accent2 14 3 2" xfId="1838"/>
    <cellStyle name="20 % - Accent2 14 3 3" xfId="1839"/>
    <cellStyle name="20 % - Accent2 14 4" xfId="1840"/>
    <cellStyle name="20 % - Accent2 14 5" xfId="1841"/>
    <cellStyle name="20 % - Accent2 140" xfId="1842"/>
    <cellStyle name="20 % - Accent2 15" xfId="161"/>
    <cellStyle name="20 % - Accent2 15 2" xfId="162"/>
    <cellStyle name="20 % - Accent2 15 2 2" xfId="163"/>
    <cellStyle name="20 % - Accent2 15 2 3" xfId="1843"/>
    <cellStyle name="20 % - Accent2 15 3" xfId="164"/>
    <cellStyle name="20 % - Accent2 15 3 2" xfId="1844"/>
    <cellStyle name="20 % - Accent2 15 3 3" xfId="1845"/>
    <cellStyle name="20 % - Accent2 15 4" xfId="1846"/>
    <cellStyle name="20 % - Accent2 15 5" xfId="1847"/>
    <cellStyle name="20 % - Accent2 16" xfId="165"/>
    <cellStyle name="20 % - Accent2 16 2" xfId="166"/>
    <cellStyle name="20 % - Accent2 16 2 2" xfId="167"/>
    <cellStyle name="20 % - Accent2 16 2 3" xfId="1848"/>
    <cellStyle name="20 % - Accent2 16 3" xfId="168"/>
    <cellStyle name="20 % - Accent2 16 3 2" xfId="1849"/>
    <cellStyle name="20 % - Accent2 16 3 3" xfId="1850"/>
    <cellStyle name="20 % - Accent2 16 4" xfId="1851"/>
    <cellStyle name="20 % - Accent2 16 5" xfId="1852"/>
    <cellStyle name="20 % - Accent2 17" xfId="169"/>
    <cellStyle name="20 % - Accent2 17 2" xfId="170"/>
    <cellStyle name="20 % - Accent2 17 2 2" xfId="171"/>
    <cellStyle name="20 % - Accent2 17 2 3" xfId="1853"/>
    <cellStyle name="20 % - Accent2 17 3" xfId="172"/>
    <cellStyle name="20 % - Accent2 17 3 2" xfId="1854"/>
    <cellStyle name="20 % - Accent2 17 3 3" xfId="1855"/>
    <cellStyle name="20 % - Accent2 17 4" xfId="1856"/>
    <cellStyle name="20 % - Accent2 17 5" xfId="1857"/>
    <cellStyle name="20 % - Accent2 18" xfId="173"/>
    <cellStyle name="20 % - Accent2 18 2" xfId="174"/>
    <cellStyle name="20 % - Accent2 18 2 2" xfId="175"/>
    <cellStyle name="20 % - Accent2 18 2 3" xfId="1858"/>
    <cellStyle name="20 % - Accent2 18 3" xfId="176"/>
    <cellStyle name="20 % - Accent2 18 3 2" xfId="1859"/>
    <cellStyle name="20 % - Accent2 18 3 3" xfId="1860"/>
    <cellStyle name="20 % - Accent2 18 4" xfId="1861"/>
    <cellStyle name="20 % - Accent2 18 5" xfId="1862"/>
    <cellStyle name="20 % - Accent2 19" xfId="1863"/>
    <cellStyle name="20 % - Accent2 19 2" xfId="1864"/>
    <cellStyle name="20 % - Accent2 19 2 2" xfId="1865"/>
    <cellStyle name="20 % - Accent2 19 2 3" xfId="1866"/>
    <cellStyle name="20 % - Accent2 19 3" xfId="1867"/>
    <cellStyle name="20 % - Accent2 19 3 2" xfId="1868"/>
    <cellStyle name="20 % - Accent2 19 3 3" xfId="1869"/>
    <cellStyle name="20 % - Accent2 19 4" xfId="1870"/>
    <cellStyle name="20 % - Accent2 19 5" xfId="1871"/>
    <cellStyle name="20 % - Accent2 2" xfId="177"/>
    <cellStyle name="20 % - Accent2 2 2" xfId="178"/>
    <cellStyle name="20 % - Accent2 2 2 2" xfId="179"/>
    <cellStyle name="20 % - Accent2 2 2 3" xfId="1872"/>
    <cellStyle name="20 % - Accent2 2 3" xfId="180"/>
    <cellStyle name="20 % - Accent2 2 3 2" xfId="1873"/>
    <cellStyle name="20 % - Accent2 2 3 3" xfId="1874"/>
    <cellStyle name="20 % - Accent2 2 4" xfId="1875"/>
    <cellStyle name="20 % - Accent2 2 5" xfId="1876"/>
    <cellStyle name="20 % - Accent2 20" xfId="1877"/>
    <cellStyle name="20 % - Accent2 20 2" xfId="1878"/>
    <cellStyle name="20 % - Accent2 20 2 2" xfId="1879"/>
    <cellStyle name="20 % - Accent2 20 2 3" xfId="1880"/>
    <cellStyle name="20 % - Accent2 20 3" xfId="1881"/>
    <cellStyle name="20 % - Accent2 20 3 2" xfId="1882"/>
    <cellStyle name="20 % - Accent2 20 3 3" xfId="1883"/>
    <cellStyle name="20 % - Accent2 20 4" xfId="1884"/>
    <cellStyle name="20 % - Accent2 20 5" xfId="1885"/>
    <cellStyle name="20 % - Accent2 21" xfId="1886"/>
    <cellStyle name="20 % - Accent2 21 2" xfId="1887"/>
    <cellStyle name="20 % - Accent2 21 2 2" xfId="1888"/>
    <cellStyle name="20 % - Accent2 21 2 3" xfId="1889"/>
    <cellStyle name="20 % - Accent2 21 3" xfId="1890"/>
    <cellStyle name="20 % - Accent2 21 3 2" xfId="1891"/>
    <cellStyle name="20 % - Accent2 21 3 3" xfId="1892"/>
    <cellStyle name="20 % - Accent2 21 4" xfId="1893"/>
    <cellStyle name="20 % - Accent2 21 5" xfId="1894"/>
    <cellStyle name="20 % - Accent2 22" xfId="1895"/>
    <cellStyle name="20 % - Accent2 22 2" xfId="1896"/>
    <cellStyle name="20 % - Accent2 22 2 2" xfId="1897"/>
    <cellStyle name="20 % - Accent2 22 2 3" xfId="1898"/>
    <cellStyle name="20 % - Accent2 22 3" xfId="1899"/>
    <cellStyle name="20 % - Accent2 22 3 2" xfId="1900"/>
    <cellStyle name="20 % - Accent2 22 3 3" xfId="1901"/>
    <cellStyle name="20 % - Accent2 22 4" xfId="1902"/>
    <cellStyle name="20 % - Accent2 22 5" xfId="1903"/>
    <cellStyle name="20 % - Accent2 23" xfId="1904"/>
    <cellStyle name="20 % - Accent2 23 2" xfId="1905"/>
    <cellStyle name="20 % - Accent2 23 2 2" xfId="1906"/>
    <cellStyle name="20 % - Accent2 23 2 3" xfId="1907"/>
    <cellStyle name="20 % - Accent2 23 3" xfId="1908"/>
    <cellStyle name="20 % - Accent2 23 3 2" xfId="1909"/>
    <cellStyle name="20 % - Accent2 23 3 3" xfId="1910"/>
    <cellStyle name="20 % - Accent2 23 4" xfId="1911"/>
    <cellStyle name="20 % - Accent2 23 5" xfId="1912"/>
    <cellStyle name="20 % - Accent2 24" xfId="1913"/>
    <cellStyle name="20 % - Accent2 24 2" xfId="1914"/>
    <cellStyle name="20 % - Accent2 24 2 2" xfId="1915"/>
    <cellStyle name="20 % - Accent2 24 2 3" xfId="1916"/>
    <cellStyle name="20 % - Accent2 24 3" xfId="1917"/>
    <cellStyle name="20 % - Accent2 24 3 2" xfId="1918"/>
    <cellStyle name="20 % - Accent2 24 3 3" xfId="1919"/>
    <cellStyle name="20 % - Accent2 24 4" xfId="1920"/>
    <cellStyle name="20 % - Accent2 24 5" xfId="1921"/>
    <cellStyle name="20 % - Accent2 25" xfId="1922"/>
    <cellStyle name="20 % - Accent2 25 2" xfId="1923"/>
    <cellStyle name="20 % - Accent2 25 2 2" xfId="1924"/>
    <cellStyle name="20 % - Accent2 25 2 3" xfId="1925"/>
    <cellStyle name="20 % - Accent2 25 3" xfId="1926"/>
    <cellStyle name="20 % - Accent2 25 3 2" xfId="1927"/>
    <cellStyle name="20 % - Accent2 25 3 3" xfId="1928"/>
    <cellStyle name="20 % - Accent2 25 4" xfId="1929"/>
    <cellStyle name="20 % - Accent2 25 5" xfId="1930"/>
    <cellStyle name="20 % - Accent2 26" xfId="1931"/>
    <cellStyle name="20 % - Accent2 26 2" xfId="1932"/>
    <cellStyle name="20 % - Accent2 26 2 2" xfId="1933"/>
    <cellStyle name="20 % - Accent2 26 2 3" xfId="1934"/>
    <cellStyle name="20 % - Accent2 26 3" xfId="1935"/>
    <cellStyle name="20 % - Accent2 26 3 2" xfId="1936"/>
    <cellStyle name="20 % - Accent2 26 3 3" xfId="1937"/>
    <cellStyle name="20 % - Accent2 26 4" xfId="1938"/>
    <cellStyle name="20 % - Accent2 26 5" xfId="1939"/>
    <cellStyle name="20 % - Accent2 27" xfId="1940"/>
    <cellStyle name="20 % - Accent2 27 2" xfId="1941"/>
    <cellStyle name="20 % - Accent2 27 2 2" xfId="1942"/>
    <cellStyle name="20 % - Accent2 27 2 3" xfId="1943"/>
    <cellStyle name="20 % - Accent2 27 3" xfId="1944"/>
    <cellStyle name="20 % - Accent2 27 3 2" xfId="1945"/>
    <cellStyle name="20 % - Accent2 27 3 3" xfId="1946"/>
    <cellStyle name="20 % - Accent2 27 4" xfId="1947"/>
    <cellStyle name="20 % - Accent2 27 5" xfId="1948"/>
    <cellStyle name="20 % - Accent2 28" xfId="1949"/>
    <cellStyle name="20 % - Accent2 28 2" xfId="1950"/>
    <cellStyle name="20 % - Accent2 28 2 2" xfId="1951"/>
    <cellStyle name="20 % - Accent2 28 2 3" xfId="1952"/>
    <cellStyle name="20 % - Accent2 28 3" xfId="1953"/>
    <cellStyle name="20 % - Accent2 28 3 2" xfId="1954"/>
    <cellStyle name="20 % - Accent2 28 3 3" xfId="1955"/>
    <cellStyle name="20 % - Accent2 28 4" xfId="1956"/>
    <cellStyle name="20 % - Accent2 28 5" xfId="1957"/>
    <cellStyle name="20 % - Accent2 29" xfId="1958"/>
    <cellStyle name="20 % - Accent2 29 2" xfId="1959"/>
    <cellStyle name="20 % - Accent2 29 2 2" xfId="1960"/>
    <cellStyle name="20 % - Accent2 29 2 3" xfId="1961"/>
    <cellStyle name="20 % - Accent2 29 3" xfId="1962"/>
    <cellStyle name="20 % - Accent2 29 3 2" xfId="1963"/>
    <cellStyle name="20 % - Accent2 29 3 3" xfId="1964"/>
    <cellStyle name="20 % - Accent2 29 4" xfId="1965"/>
    <cellStyle name="20 % - Accent2 29 5" xfId="1966"/>
    <cellStyle name="20 % - Accent2 3" xfId="181"/>
    <cellStyle name="20 % - Accent2 3 2" xfId="182"/>
    <cellStyle name="20 % - Accent2 3 2 2" xfId="183"/>
    <cellStyle name="20 % - Accent2 3 2 3" xfId="1967"/>
    <cellStyle name="20 % - Accent2 3 3" xfId="184"/>
    <cellStyle name="20 % - Accent2 3 3 2" xfId="1968"/>
    <cellStyle name="20 % - Accent2 3 3 3" xfId="1969"/>
    <cellStyle name="20 % - Accent2 3 4" xfId="1970"/>
    <cellStyle name="20 % - Accent2 3 5" xfId="1971"/>
    <cellStyle name="20 % - Accent2 30" xfId="1972"/>
    <cellStyle name="20 % - Accent2 30 2" xfId="1973"/>
    <cellStyle name="20 % - Accent2 30 2 2" xfId="1974"/>
    <cellStyle name="20 % - Accent2 30 2 3" xfId="1975"/>
    <cellStyle name="20 % - Accent2 30 3" xfId="1976"/>
    <cellStyle name="20 % - Accent2 30 3 2" xfId="1977"/>
    <cellStyle name="20 % - Accent2 30 3 3" xfId="1978"/>
    <cellStyle name="20 % - Accent2 30 4" xfId="1979"/>
    <cellStyle name="20 % - Accent2 30 5" xfId="1980"/>
    <cellStyle name="20 % - Accent2 31" xfId="1981"/>
    <cellStyle name="20 % - Accent2 31 2" xfId="1982"/>
    <cellStyle name="20 % - Accent2 31 2 2" xfId="1983"/>
    <cellStyle name="20 % - Accent2 31 2 3" xfId="1984"/>
    <cellStyle name="20 % - Accent2 31 3" xfId="1985"/>
    <cellStyle name="20 % - Accent2 31 3 2" xfId="1986"/>
    <cellStyle name="20 % - Accent2 31 3 3" xfId="1987"/>
    <cellStyle name="20 % - Accent2 31 4" xfId="1988"/>
    <cellStyle name="20 % - Accent2 31 5" xfId="1989"/>
    <cellStyle name="20 % - Accent2 32" xfId="1990"/>
    <cellStyle name="20 % - Accent2 32 2" xfId="1991"/>
    <cellStyle name="20 % - Accent2 32 2 2" xfId="1992"/>
    <cellStyle name="20 % - Accent2 32 2 3" xfId="1993"/>
    <cellStyle name="20 % - Accent2 32 3" xfId="1994"/>
    <cellStyle name="20 % - Accent2 32 3 2" xfId="1995"/>
    <cellStyle name="20 % - Accent2 32 3 3" xfId="1996"/>
    <cellStyle name="20 % - Accent2 32 4" xfId="1997"/>
    <cellStyle name="20 % - Accent2 32 5" xfId="1998"/>
    <cellStyle name="20 % - Accent2 33" xfId="1999"/>
    <cellStyle name="20 % - Accent2 33 2" xfId="2000"/>
    <cellStyle name="20 % - Accent2 33 2 2" xfId="2001"/>
    <cellStyle name="20 % - Accent2 33 2 3" xfId="2002"/>
    <cellStyle name="20 % - Accent2 33 3" xfId="2003"/>
    <cellStyle name="20 % - Accent2 33 3 2" xfId="2004"/>
    <cellStyle name="20 % - Accent2 33 3 3" xfId="2005"/>
    <cellStyle name="20 % - Accent2 33 4" xfId="2006"/>
    <cellStyle name="20 % - Accent2 33 5" xfId="2007"/>
    <cellStyle name="20 % - Accent2 34" xfId="2008"/>
    <cellStyle name="20 % - Accent2 34 2" xfId="2009"/>
    <cellStyle name="20 % - Accent2 34 2 2" xfId="2010"/>
    <cellStyle name="20 % - Accent2 34 2 3" xfId="2011"/>
    <cellStyle name="20 % - Accent2 34 3" xfId="2012"/>
    <cellStyle name="20 % - Accent2 34 3 2" xfId="2013"/>
    <cellStyle name="20 % - Accent2 34 3 3" xfId="2014"/>
    <cellStyle name="20 % - Accent2 34 4" xfId="2015"/>
    <cellStyle name="20 % - Accent2 34 5" xfId="2016"/>
    <cellStyle name="20 % - Accent2 35" xfId="2017"/>
    <cellStyle name="20 % - Accent2 35 2" xfId="2018"/>
    <cellStyle name="20 % - Accent2 35 2 2" xfId="2019"/>
    <cellStyle name="20 % - Accent2 35 2 3" xfId="2020"/>
    <cellStyle name="20 % - Accent2 35 3" xfId="2021"/>
    <cellStyle name="20 % - Accent2 35 3 2" xfId="2022"/>
    <cellStyle name="20 % - Accent2 35 3 3" xfId="2023"/>
    <cellStyle name="20 % - Accent2 35 4" xfId="2024"/>
    <cellStyle name="20 % - Accent2 35 5" xfId="2025"/>
    <cellStyle name="20 % - Accent2 36" xfId="2026"/>
    <cellStyle name="20 % - Accent2 36 2" xfId="2027"/>
    <cellStyle name="20 % - Accent2 36 2 2" xfId="2028"/>
    <cellStyle name="20 % - Accent2 36 2 3" xfId="2029"/>
    <cellStyle name="20 % - Accent2 36 3" xfId="2030"/>
    <cellStyle name="20 % - Accent2 36 3 2" xfId="2031"/>
    <cellStyle name="20 % - Accent2 36 3 3" xfId="2032"/>
    <cellStyle name="20 % - Accent2 36 4" xfId="2033"/>
    <cellStyle name="20 % - Accent2 36 5" xfId="2034"/>
    <cellStyle name="20 % - Accent2 37" xfId="2035"/>
    <cellStyle name="20 % - Accent2 37 2" xfId="2036"/>
    <cellStyle name="20 % - Accent2 37 2 2" xfId="2037"/>
    <cellStyle name="20 % - Accent2 37 2 3" xfId="2038"/>
    <cellStyle name="20 % - Accent2 37 3" xfId="2039"/>
    <cellStyle name="20 % - Accent2 37 3 2" xfId="2040"/>
    <cellStyle name="20 % - Accent2 37 3 3" xfId="2041"/>
    <cellStyle name="20 % - Accent2 37 4" xfId="2042"/>
    <cellStyle name="20 % - Accent2 37 5" xfId="2043"/>
    <cellStyle name="20 % - Accent2 38" xfId="2044"/>
    <cellStyle name="20 % - Accent2 38 2" xfId="2045"/>
    <cellStyle name="20 % - Accent2 38 2 2" xfId="2046"/>
    <cellStyle name="20 % - Accent2 38 2 3" xfId="2047"/>
    <cellStyle name="20 % - Accent2 38 3" xfId="2048"/>
    <cellStyle name="20 % - Accent2 38 3 2" xfId="2049"/>
    <cellStyle name="20 % - Accent2 38 3 3" xfId="2050"/>
    <cellStyle name="20 % - Accent2 38 4" xfId="2051"/>
    <cellStyle name="20 % - Accent2 38 5" xfId="2052"/>
    <cellStyle name="20 % - Accent2 39" xfId="2053"/>
    <cellStyle name="20 % - Accent2 39 2" xfId="2054"/>
    <cellStyle name="20 % - Accent2 39 2 2" xfId="2055"/>
    <cellStyle name="20 % - Accent2 39 2 3" xfId="2056"/>
    <cellStyle name="20 % - Accent2 39 3" xfId="2057"/>
    <cellStyle name="20 % - Accent2 39 3 2" xfId="2058"/>
    <cellStyle name="20 % - Accent2 39 3 3" xfId="2059"/>
    <cellStyle name="20 % - Accent2 39 4" xfId="2060"/>
    <cellStyle name="20 % - Accent2 39 5" xfId="2061"/>
    <cellStyle name="20 % - Accent2 4" xfId="185"/>
    <cellStyle name="20 % - Accent2 4 2" xfId="186"/>
    <cellStyle name="20 % - Accent2 4 2 2" xfId="187"/>
    <cellStyle name="20 % - Accent2 4 2 3" xfId="2062"/>
    <cellStyle name="20 % - Accent2 4 3" xfId="188"/>
    <cellStyle name="20 % - Accent2 4 3 2" xfId="2063"/>
    <cellStyle name="20 % - Accent2 4 3 3" xfId="2064"/>
    <cellStyle name="20 % - Accent2 4 4" xfId="2065"/>
    <cellStyle name="20 % - Accent2 4 5" xfId="2066"/>
    <cellStyle name="20 % - Accent2 40" xfId="2067"/>
    <cellStyle name="20 % - Accent2 40 2" xfId="2068"/>
    <cellStyle name="20 % - Accent2 40 2 2" xfId="2069"/>
    <cellStyle name="20 % - Accent2 40 2 3" xfId="2070"/>
    <cellStyle name="20 % - Accent2 40 3" xfId="2071"/>
    <cellStyle name="20 % - Accent2 40 3 2" xfId="2072"/>
    <cellStyle name="20 % - Accent2 40 3 3" xfId="2073"/>
    <cellStyle name="20 % - Accent2 40 4" xfId="2074"/>
    <cellStyle name="20 % - Accent2 40 5" xfId="2075"/>
    <cellStyle name="20 % - Accent2 41" xfId="2076"/>
    <cellStyle name="20 % - Accent2 41 2" xfId="2077"/>
    <cellStyle name="20 % - Accent2 41 2 2" xfId="2078"/>
    <cellStyle name="20 % - Accent2 41 2 3" xfId="2079"/>
    <cellStyle name="20 % - Accent2 41 3" xfId="2080"/>
    <cellStyle name="20 % - Accent2 41 3 2" xfId="2081"/>
    <cellStyle name="20 % - Accent2 41 3 3" xfId="2082"/>
    <cellStyle name="20 % - Accent2 41 4" xfId="2083"/>
    <cellStyle name="20 % - Accent2 41 5" xfId="2084"/>
    <cellStyle name="20 % - Accent2 42" xfId="2085"/>
    <cellStyle name="20 % - Accent2 42 2" xfId="2086"/>
    <cellStyle name="20 % - Accent2 42 2 2" xfId="2087"/>
    <cellStyle name="20 % - Accent2 42 2 3" xfId="2088"/>
    <cellStyle name="20 % - Accent2 42 3" xfId="2089"/>
    <cellStyle name="20 % - Accent2 42 3 2" xfId="2090"/>
    <cellStyle name="20 % - Accent2 42 3 3" xfId="2091"/>
    <cellStyle name="20 % - Accent2 42 4" xfId="2092"/>
    <cellStyle name="20 % - Accent2 42 5" xfId="2093"/>
    <cellStyle name="20 % - Accent2 43" xfId="2094"/>
    <cellStyle name="20 % - Accent2 43 2" xfId="2095"/>
    <cellStyle name="20 % - Accent2 43 2 2" xfId="2096"/>
    <cellStyle name="20 % - Accent2 43 2 3" xfId="2097"/>
    <cellStyle name="20 % - Accent2 43 3" xfId="2098"/>
    <cellStyle name="20 % - Accent2 43 3 2" xfId="2099"/>
    <cellStyle name="20 % - Accent2 43 3 3" xfId="2100"/>
    <cellStyle name="20 % - Accent2 43 4" xfId="2101"/>
    <cellStyle name="20 % - Accent2 43 5" xfId="2102"/>
    <cellStyle name="20 % - Accent2 44" xfId="2103"/>
    <cellStyle name="20 % - Accent2 44 2" xfId="2104"/>
    <cellStyle name="20 % - Accent2 44 2 2" xfId="2105"/>
    <cellStyle name="20 % - Accent2 44 2 3" xfId="2106"/>
    <cellStyle name="20 % - Accent2 44 3" xfId="2107"/>
    <cellStyle name="20 % - Accent2 44 3 2" xfId="2108"/>
    <cellStyle name="20 % - Accent2 44 3 3" xfId="2109"/>
    <cellStyle name="20 % - Accent2 44 4" xfId="2110"/>
    <cellStyle name="20 % - Accent2 44 5" xfId="2111"/>
    <cellStyle name="20 % - Accent2 45" xfId="2112"/>
    <cellStyle name="20 % - Accent2 45 2" xfId="2113"/>
    <cellStyle name="20 % - Accent2 45 2 2" xfId="2114"/>
    <cellStyle name="20 % - Accent2 45 2 3" xfId="2115"/>
    <cellStyle name="20 % - Accent2 45 3" xfId="2116"/>
    <cellStyle name="20 % - Accent2 45 3 2" xfId="2117"/>
    <cellStyle name="20 % - Accent2 45 3 3" xfId="2118"/>
    <cellStyle name="20 % - Accent2 45 4" xfId="2119"/>
    <cellStyle name="20 % - Accent2 45 5" xfId="2120"/>
    <cellStyle name="20 % - Accent2 46" xfId="2121"/>
    <cellStyle name="20 % - Accent2 46 2" xfId="2122"/>
    <cellStyle name="20 % - Accent2 46 2 2" xfId="2123"/>
    <cellStyle name="20 % - Accent2 46 2 3" xfId="2124"/>
    <cellStyle name="20 % - Accent2 46 3" xfId="2125"/>
    <cellStyle name="20 % - Accent2 46 3 2" xfId="2126"/>
    <cellStyle name="20 % - Accent2 46 3 3" xfId="2127"/>
    <cellStyle name="20 % - Accent2 46 4" xfId="2128"/>
    <cellStyle name="20 % - Accent2 46 5" xfId="2129"/>
    <cellStyle name="20 % - Accent2 47" xfId="2130"/>
    <cellStyle name="20 % - Accent2 47 2" xfId="2131"/>
    <cellStyle name="20 % - Accent2 47 2 2" xfId="2132"/>
    <cellStyle name="20 % - Accent2 47 2 3" xfId="2133"/>
    <cellStyle name="20 % - Accent2 47 3" xfId="2134"/>
    <cellStyle name="20 % - Accent2 47 3 2" xfId="2135"/>
    <cellStyle name="20 % - Accent2 47 3 3" xfId="2136"/>
    <cellStyle name="20 % - Accent2 47 4" xfId="2137"/>
    <cellStyle name="20 % - Accent2 47 5" xfId="2138"/>
    <cellStyle name="20 % - Accent2 48" xfId="2139"/>
    <cellStyle name="20 % - Accent2 48 2" xfId="2140"/>
    <cellStyle name="20 % - Accent2 48 2 2" xfId="2141"/>
    <cellStyle name="20 % - Accent2 48 2 3" xfId="2142"/>
    <cellStyle name="20 % - Accent2 48 3" xfId="2143"/>
    <cellStyle name="20 % - Accent2 48 3 2" xfId="2144"/>
    <cellStyle name="20 % - Accent2 48 3 3" xfId="2145"/>
    <cellStyle name="20 % - Accent2 48 4" xfId="2146"/>
    <cellStyle name="20 % - Accent2 48 5" xfId="2147"/>
    <cellStyle name="20 % - Accent2 49" xfId="2148"/>
    <cellStyle name="20 % - Accent2 49 2" xfId="2149"/>
    <cellStyle name="20 % - Accent2 49 2 2" xfId="2150"/>
    <cellStyle name="20 % - Accent2 49 2 3" xfId="2151"/>
    <cellStyle name="20 % - Accent2 49 3" xfId="2152"/>
    <cellStyle name="20 % - Accent2 49 3 2" xfId="2153"/>
    <cellStyle name="20 % - Accent2 49 3 3" xfId="2154"/>
    <cellStyle name="20 % - Accent2 49 4" xfId="2155"/>
    <cellStyle name="20 % - Accent2 49 5" xfId="2156"/>
    <cellStyle name="20 % - Accent2 5" xfId="189"/>
    <cellStyle name="20 % - Accent2 5 2" xfId="190"/>
    <cellStyle name="20 % - Accent2 5 2 2" xfId="191"/>
    <cellStyle name="20 % - Accent2 5 2 3" xfId="2157"/>
    <cellStyle name="20 % - Accent2 5 3" xfId="192"/>
    <cellStyle name="20 % - Accent2 5 3 2" xfId="2158"/>
    <cellStyle name="20 % - Accent2 5 3 3" xfId="2159"/>
    <cellStyle name="20 % - Accent2 5 4" xfId="2160"/>
    <cellStyle name="20 % - Accent2 5 5" xfId="2161"/>
    <cellStyle name="20 % - Accent2 50" xfId="2162"/>
    <cellStyle name="20 % - Accent2 50 2" xfId="2163"/>
    <cellStyle name="20 % - Accent2 50 2 2" xfId="2164"/>
    <cellStyle name="20 % - Accent2 50 2 3" xfId="2165"/>
    <cellStyle name="20 % - Accent2 50 3" xfId="2166"/>
    <cellStyle name="20 % - Accent2 50 3 2" xfId="2167"/>
    <cellStyle name="20 % - Accent2 50 3 3" xfId="2168"/>
    <cellStyle name="20 % - Accent2 50 4" xfId="2169"/>
    <cellStyle name="20 % - Accent2 50 5" xfId="2170"/>
    <cellStyle name="20 % - Accent2 51" xfId="2171"/>
    <cellStyle name="20 % - Accent2 51 2" xfId="2172"/>
    <cellStyle name="20 % - Accent2 51 2 2" xfId="2173"/>
    <cellStyle name="20 % - Accent2 51 2 3" xfId="2174"/>
    <cellStyle name="20 % - Accent2 51 3" xfId="2175"/>
    <cellStyle name="20 % - Accent2 51 3 2" xfId="2176"/>
    <cellStyle name="20 % - Accent2 51 3 3" xfId="2177"/>
    <cellStyle name="20 % - Accent2 51 4" xfId="2178"/>
    <cellStyle name="20 % - Accent2 51 5" xfId="2179"/>
    <cellStyle name="20 % - Accent2 52" xfId="2180"/>
    <cellStyle name="20 % - Accent2 52 2" xfId="2181"/>
    <cellStyle name="20 % - Accent2 52 2 2" xfId="2182"/>
    <cellStyle name="20 % - Accent2 52 2 3" xfId="2183"/>
    <cellStyle name="20 % - Accent2 52 3" xfId="2184"/>
    <cellStyle name="20 % - Accent2 52 3 2" xfId="2185"/>
    <cellStyle name="20 % - Accent2 52 3 3" xfId="2186"/>
    <cellStyle name="20 % - Accent2 52 4" xfId="2187"/>
    <cellStyle name="20 % - Accent2 52 5" xfId="2188"/>
    <cellStyle name="20 % - Accent2 53" xfId="2189"/>
    <cellStyle name="20 % - Accent2 53 2" xfId="2190"/>
    <cellStyle name="20 % - Accent2 53 2 2" xfId="2191"/>
    <cellStyle name="20 % - Accent2 53 2 3" xfId="2192"/>
    <cellStyle name="20 % - Accent2 53 3" xfId="2193"/>
    <cellStyle name="20 % - Accent2 53 3 2" xfId="2194"/>
    <cellStyle name="20 % - Accent2 53 3 3" xfId="2195"/>
    <cellStyle name="20 % - Accent2 53 4" xfId="2196"/>
    <cellStyle name="20 % - Accent2 53 5" xfId="2197"/>
    <cellStyle name="20 % - Accent2 54" xfId="2198"/>
    <cellStyle name="20 % - Accent2 54 2" xfId="2199"/>
    <cellStyle name="20 % - Accent2 54 2 2" xfId="2200"/>
    <cellStyle name="20 % - Accent2 54 2 3" xfId="2201"/>
    <cellStyle name="20 % - Accent2 54 3" xfId="2202"/>
    <cellStyle name="20 % - Accent2 54 3 2" xfId="2203"/>
    <cellStyle name="20 % - Accent2 54 3 3" xfId="2204"/>
    <cellStyle name="20 % - Accent2 54 4" xfId="2205"/>
    <cellStyle name="20 % - Accent2 54 5" xfId="2206"/>
    <cellStyle name="20 % - Accent2 55" xfId="2207"/>
    <cellStyle name="20 % - Accent2 55 2" xfId="2208"/>
    <cellStyle name="20 % - Accent2 55 2 2" xfId="2209"/>
    <cellStyle name="20 % - Accent2 55 2 3" xfId="2210"/>
    <cellStyle name="20 % - Accent2 55 3" xfId="2211"/>
    <cellStyle name="20 % - Accent2 55 3 2" xfId="2212"/>
    <cellStyle name="20 % - Accent2 55 3 3" xfId="2213"/>
    <cellStyle name="20 % - Accent2 55 4" xfId="2214"/>
    <cellStyle name="20 % - Accent2 55 5" xfId="2215"/>
    <cellStyle name="20 % - Accent2 56" xfId="2216"/>
    <cellStyle name="20 % - Accent2 56 2" xfId="2217"/>
    <cellStyle name="20 % - Accent2 56 2 2" xfId="2218"/>
    <cellStyle name="20 % - Accent2 56 2 3" xfId="2219"/>
    <cellStyle name="20 % - Accent2 56 3" xfId="2220"/>
    <cellStyle name="20 % - Accent2 56 3 2" xfId="2221"/>
    <cellStyle name="20 % - Accent2 56 3 3" xfId="2222"/>
    <cellStyle name="20 % - Accent2 56 4" xfId="2223"/>
    <cellStyle name="20 % - Accent2 56 5" xfId="2224"/>
    <cellStyle name="20 % - Accent2 57" xfId="2225"/>
    <cellStyle name="20 % - Accent2 57 2" xfId="2226"/>
    <cellStyle name="20 % - Accent2 57 2 2" xfId="2227"/>
    <cellStyle name="20 % - Accent2 57 2 3" xfId="2228"/>
    <cellStyle name="20 % - Accent2 57 3" xfId="2229"/>
    <cellStyle name="20 % - Accent2 57 3 2" xfId="2230"/>
    <cellStyle name="20 % - Accent2 57 3 3" xfId="2231"/>
    <cellStyle name="20 % - Accent2 57 4" xfId="2232"/>
    <cellStyle name="20 % - Accent2 57 5" xfId="2233"/>
    <cellStyle name="20 % - Accent2 58" xfId="2234"/>
    <cellStyle name="20 % - Accent2 58 2" xfId="2235"/>
    <cellStyle name="20 % - Accent2 58 2 2" xfId="2236"/>
    <cellStyle name="20 % - Accent2 58 2 3" xfId="2237"/>
    <cellStyle name="20 % - Accent2 58 3" xfId="2238"/>
    <cellStyle name="20 % - Accent2 58 3 2" xfId="2239"/>
    <cellStyle name="20 % - Accent2 58 3 3" xfId="2240"/>
    <cellStyle name="20 % - Accent2 58 4" xfId="2241"/>
    <cellStyle name="20 % - Accent2 58 5" xfId="2242"/>
    <cellStyle name="20 % - Accent2 59" xfId="2243"/>
    <cellStyle name="20 % - Accent2 59 2" xfId="2244"/>
    <cellStyle name="20 % - Accent2 59 2 2" xfId="2245"/>
    <cellStyle name="20 % - Accent2 59 2 3" xfId="2246"/>
    <cellStyle name="20 % - Accent2 59 3" xfId="2247"/>
    <cellStyle name="20 % - Accent2 59 3 2" xfId="2248"/>
    <cellStyle name="20 % - Accent2 59 3 3" xfId="2249"/>
    <cellStyle name="20 % - Accent2 59 4" xfId="2250"/>
    <cellStyle name="20 % - Accent2 59 5" xfId="2251"/>
    <cellStyle name="20 % - Accent2 6" xfId="193"/>
    <cellStyle name="20 % - Accent2 6 2" xfId="194"/>
    <cellStyle name="20 % - Accent2 6 2 2" xfId="195"/>
    <cellStyle name="20 % - Accent2 6 2 3" xfId="2252"/>
    <cellStyle name="20 % - Accent2 6 3" xfId="196"/>
    <cellStyle name="20 % - Accent2 6 3 2" xfId="2253"/>
    <cellStyle name="20 % - Accent2 6 3 3" xfId="2254"/>
    <cellStyle name="20 % - Accent2 6 4" xfId="2255"/>
    <cellStyle name="20 % - Accent2 6 5" xfId="2256"/>
    <cellStyle name="20 % - Accent2 60" xfId="2257"/>
    <cellStyle name="20 % - Accent2 60 2" xfId="2258"/>
    <cellStyle name="20 % - Accent2 60 2 2" xfId="2259"/>
    <cellStyle name="20 % - Accent2 60 2 3" xfId="2260"/>
    <cellStyle name="20 % - Accent2 60 3" xfId="2261"/>
    <cellStyle name="20 % - Accent2 60 3 2" xfId="2262"/>
    <cellStyle name="20 % - Accent2 60 3 3" xfId="2263"/>
    <cellStyle name="20 % - Accent2 60 4" xfId="2264"/>
    <cellStyle name="20 % - Accent2 60 5" xfId="2265"/>
    <cellStyle name="20 % - Accent2 61" xfId="2266"/>
    <cellStyle name="20 % - Accent2 61 2" xfId="2267"/>
    <cellStyle name="20 % - Accent2 61 2 2" xfId="2268"/>
    <cellStyle name="20 % - Accent2 61 2 3" xfId="2269"/>
    <cellStyle name="20 % - Accent2 61 3" xfId="2270"/>
    <cellStyle name="20 % - Accent2 61 3 2" xfId="2271"/>
    <cellStyle name="20 % - Accent2 61 3 3" xfId="2272"/>
    <cellStyle name="20 % - Accent2 61 4" xfId="2273"/>
    <cellStyle name="20 % - Accent2 61 5" xfId="2274"/>
    <cellStyle name="20 % - Accent2 62" xfId="2275"/>
    <cellStyle name="20 % - Accent2 62 2" xfId="2276"/>
    <cellStyle name="20 % - Accent2 62 2 2" xfId="2277"/>
    <cellStyle name="20 % - Accent2 62 2 3" xfId="2278"/>
    <cellStyle name="20 % - Accent2 62 3" xfId="2279"/>
    <cellStyle name="20 % - Accent2 62 3 2" xfId="2280"/>
    <cellStyle name="20 % - Accent2 62 3 3" xfId="2281"/>
    <cellStyle name="20 % - Accent2 62 4" xfId="2282"/>
    <cellStyle name="20 % - Accent2 62 5" xfId="2283"/>
    <cellStyle name="20 % - Accent2 63" xfId="2284"/>
    <cellStyle name="20 % - Accent2 63 2" xfId="2285"/>
    <cellStyle name="20 % - Accent2 63 2 2" xfId="2286"/>
    <cellStyle name="20 % - Accent2 63 2 3" xfId="2287"/>
    <cellStyle name="20 % - Accent2 63 3" xfId="2288"/>
    <cellStyle name="20 % - Accent2 63 3 2" xfId="2289"/>
    <cellStyle name="20 % - Accent2 63 3 3" xfId="2290"/>
    <cellStyle name="20 % - Accent2 63 4" xfId="2291"/>
    <cellStyle name="20 % - Accent2 63 5" xfId="2292"/>
    <cellStyle name="20 % - Accent2 64" xfId="2293"/>
    <cellStyle name="20 % - Accent2 64 2" xfId="2294"/>
    <cellStyle name="20 % - Accent2 64 2 2" xfId="2295"/>
    <cellStyle name="20 % - Accent2 64 2 3" xfId="2296"/>
    <cellStyle name="20 % - Accent2 64 3" xfId="2297"/>
    <cellStyle name="20 % - Accent2 64 3 2" xfId="2298"/>
    <cellStyle name="20 % - Accent2 64 3 3" xfId="2299"/>
    <cellStyle name="20 % - Accent2 64 4" xfId="2300"/>
    <cellStyle name="20 % - Accent2 64 5" xfId="2301"/>
    <cellStyle name="20 % - Accent2 65" xfId="2302"/>
    <cellStyle name="20 % - Accent2 65 2" xfId="2303"/>
    <cellStyle name="20 % - Accent2 65 2 2" xfId="2304"/>
    <cellStyle name="20 % - Accent2 65 2 3" xfId="2305"/>
    <cellStyle name="20 % - Accent2 65 3" xfId="2306"/>
    <cellStyle name="20 % - Accent2 65 3 2" xfId="2307"/>
    <cellStyle name="20 % - Accent2 65 3 3" xfId="2308"/>
    <cellStyle name="20 % - Accent2 65 4" xfId="2309"/>
    <cellStyle name="20 % - Accent2 65 5" xfId="2310"/>
    <cellStyle name="20 % - Accent2 66" xfId="2311"/>
    <cellStyle name="20 % - Accent2 66 2" xfId="2312"/>
    <cellStyle name="20 % - Accent2 66 2 2" xfId="2313"/>
    <cellStyle name="20 % - Accent2 66 2 3" xfId="2314"/>
    <cellStyle name="20 % - Accent2 66 3" xfId="2315"/>
    <cellStyle name="20 % - Accent2 66 3 2" xfId="2316"/>
    <cellStyle name="20 % - Accent2 66 3 3" xfId="2317"/>
    <cellStyle name="20 % - Accent2 66 4" xfId="2318"/>
    <cellStyle name="20 % - Accent2 66 5" xfId="2319"/>
    <cellStyle name="20 % - Accent2 67" xfId="2320"/>
    <cellStyle name="20 % - Accent2 67 2" xfId="2321"/>
    <cellStyle name="20 % - Accent2 67 2 2" xfId="2322"/>
    <cellStyle name="20 % - Accent2 67 2 3" xfId="2323"/>
    <cellStyle name="20 % - Accent2 67 3" xfId="2324"/>
    <cellStyle name="20 % - Accent2 67 3 2" xfId="2325"/>
    <cellStyle name="20 % - Accent2 67 3 3" xfId="2326"/>
    <cellStyle name="20 % - Accent2 67 4" xfId="2327"/>
    <cellStyle name="20 % - Accent2 67 5" xfId="2328"/>
    <cellStyle name="20 % - Accent2 68" xfId="2329"/>
    <cellStyle name="20 % - Accent2 68 2" xfId="2330"/>
    <cellStyle name="20 % - Accent2 68 2 2" xfId="2331"/>
    <cellStyle name="20 % - Accent2 68 2 3" xfId="2332"/>
    <cellStyle name="20 % - Accent2 68 3" xfId="2333"/>
    <cellStyle name="20 % - Accent2 68 3 2" xfId="2334"/>
    <cellStyle name="20 % - Accent2 68 3 3" xfId="2335"/>
    <cellStyle name="20 % - Accent2 68 4" xfId="2336"/>
    <cellStyle name="20 % - Accent2 68 5" xfId="2337"/>
    <cellStyle name="20 % - Accent2 69" xfId="2338"/>
    <cellStyle name="20 % - Accent2 69 2" xfId="2339"/>
    <cellStyle name="20 % - Accent2 69 2 2" xfId="2340"/>
    <cellStyle name="20 % - Accent2 69 2 3" xfId="2341"/>
    <cellStyle name="20 % - Accent2 69 3" xfId="2342"/>
    <cellStyle name="20 % - Accent2 69 3 2" xfId="2343"/>
    <cellStyle name="20 % - Accent2 69 3 3" xfId="2344"/>
    <cellStyle name="20 % - Accent2 69 4" xfId="2345"/>
    <cellStyle name="20 % - Accent2 69 5" xfId="2346"/>
    <cellStyle name="20 % - Accent2 7" xfId="197"/>
    <cellStyle name="20 % - Accent2 7 2" xfId="198"/>
    <cellStyle name="20 % - Accent2 7 2 2" xfId="199"/>
    <cellStyle name="20 % - Accent2 7 2 3" xfId="2347"/>
    <cellStyle name="20 % - Accent2 7 3" xfId="200"/>
    <cellStyle name="20 % - Accent2 7 3 2" xfId="2348"/>
    <cellStyle name="20 % - Accent2 7 3 3" xfId="2349"/>
    <cellStyle name="20 % - Accent2 7 4" xfId="2350"/>
    <cellStyle name="20 % - Accent2 7 5" xfId="2351"/>
    <cellStyle name="20 % - Accent2 70" xfId="2352"/>
    <cellStyle name="20 % - Accent2 70 2" xfId="2353"/>
    <cellStyle name="20 % - Accent2 70 2 2" xfId="2354"/>
    <cellStyle name="20 % - Accent2 70 2 3" xfId="2355"/>
    <cellStyle name="20 % - Accent2 70 3" xfId="2356"/>
    <cellStyle name="20 % - Accent2 70 3 2" xfId="2357"/>
    <cellStyle name="20 % - Accent2 70 3 3" xfId="2358"/>
    <cellStyle name="20 % - Accent2 70 4" xfId="2359"/>
    <cellStyle name="20 % - Accent2 70 5" xfId="2360"/>
    <cellStyle name="20 % - Accent2 71" xfId="2361"/>
    <cellStyle name="20 % - Accent2 71 2" xfId="2362"/>
    <cellStyle name="20 % - Accent2 71 2 2" xfId="2363"/>
    <cellStyle name="20 % - Accent2 71 2 3" xfId="2364"/>
    <cellStyle name="20 % - Accent2 71 3" xfId="2365"/>
    <cellStyle name="20 % - Accent2 71 3 2" xfId="2366"/>
    <cellStyle name="20 % - Accent2 71 3 3" xfId="2367"/>
    <cellStyle name="20 % - Accent2 71 4" xfId="2368"/>
    <cellStyle name="20 % - Accent2 71 5" xfId="2369"/>
    <cellStyle name="20 % - Accent2 72" xfId="2370"/>
    <cellStyle name="20 % - Accent2 72 2" xfId="2371"/>
    <cellStyle name="20 % - Accent2 72 2 2" xfId="2372"/>
    <cellStyle name="20 % - Accent2 72 2 3" xfId="2373"/>
    <cellStyle name="20 % - Accent2 72 3" xfId="2374"/>
    <cellStyle name="20 % - Accent2 72 3 2" xfId="2375"/>
    <cellStyle name="20 % - Accent2 72 3 3" xfId="2376"/>
    <cellStyle name="20 % - Accent2 72 4" xfId="2377"/>
    <cellStyle name="20 % - Accent2 72 5" xfId="2378"/>
    <cellStyle name="20 % - Accent2 73" xfId="2379"/>
    <cellStyle name="20 % - Accent2 73 2" xfId="2380"/>
    <cellStyle name="20 % - Accent2 73 2 2" xfId="2381"/>
    <cellStyle name="20 % - Accent2 73 2 3" xfId="2382"/>
    <cellStyle name="20 % - Accent2 73 3" xfId="2383"/>
    <cellStyle name="20 % - Accent2 73 3 2" xfId="2384"/>
    <cellStyle name="20 % - Accent2 73 3 3" xfId="2385"/>
    <cellStyle name="20 % - Accent2 73 4" xfId="2386"/>
    <cellStyle name="20 % - Accent2 73 5" xfId="2387"/>
    <cellStyle name="20 % - Accent2 74" xfId="2388"/>
    <cellStyle name="20 % - Accent2 74 2" xfId="2389"/>
    <cellStyle name="20 % - Accent2 74 3" xfId="2390"/>
    <cellStyle name="20 % - Accent2 75" xfId="2391"/>
    <cellStyle name="20 % - Accent2 75 2" xfId="2392"/>
    <cellStyle name="20 % - Accent2 75 3" xfId="2393"/>
    <cellStyle name="20 % - Accent2 76" xfId="2394"/>
    <cellStyle name="20 % - Accent2 76 2" xfId="2395"/>
    <cellStyle name="20 % - Accent2 76 3" xfId="2396"/>
    <cellStyle name="20 % - Accent2 77" xfId="2397"/>
    <cellStyle name="20 % - Accent2 77 2" xfId="2398"/>
    <cellStyle name="20 % - Accent2 77 3" xfId="2399"/>
    <cellStyle name="20 % - Accent2 78" xfId="2400"/>
    <cellStyle name="20 % - Accent2 79" xfId="2401"/>
    <cellStyle name="20 % - Accent2 8" xfId="201"/>
    <cellStyle name="20 % - Accent2 8 2" xfId="202"/>
    <cellStyle name="20 % - Accent2 8 2 2" xfId="203"/>
    <cellStyle name="20 % - Accent2 8 2 3" xfId="2402"/>
    <cellStyle name="20 % - Accent2 8 3" xfId="204"/>
    <cellStyle name="20 % - Accent2 8 3 2" xfId="2403"/>
    <cellStyle name="20 % - Accent2 8 3 3" xfId="2404"/>
    <cellStyle name="20 % - Accent2 8 4" xfId="2405"/>
    <cellStyle name="20 % - Accent2 8 5" xfId="2406"/>
    <cellStyle name="20 % - Accent2 80" xfId="2407"/>
    <cellStyle name="20 % - Accent2 81" xfId="2408"/>
    <cellStyle name="20 % - Accent2 82" xfId="2409"/>
    <cellStyle name="20 % - Accent2 83" xfId="2410"/>
    <cellStyle name="20 % - Accent2 84" xfId="2411"/>
    <cellStyle name="20 % - Accent2 85" xfId="2412"/>
    <cellStyle name="20 % - Accent2 86" xfId="2413"/>
    <cellStyle name="20 % - Accent2 87" xfId="2414"/>
    <cellStyle name="20 % - Accent2 88" xfId="2415"/>
    <cellStyle name="20 % - Accent2 89" xfId="2416"/>
    <cellStyle name="20 % - Accent2 9" xfId="205"/>
    <cellStyle name="20 % - Accent2 9 2" xfId="206"/>
    <cellStyle name="20 % - Accent2 9 2 2" xfId="207"/>
    <cellStyle name="20 % - Accent2 9 2 3" xfId="2417"/>
    <cellStyle name="20 % - Accent2 9 3" xfId="208"/>
    <cellStyle name="20 % - Accent2 9 3 2" xfId="2418"/>
    <cellStyle name="20 % - Accent2 9 3 3" xfId="2419"/>
    <cellStyle name="20 % - Accent2 9 4" xfId="2420"/>
    <cellStyle name="20 % - Accent2 9 5" xfId="2421"/>
    <cellStyle name="20 % - Accent2 90" xfId="2422"/>
    <cellStyle name="20 % - Accent2 91" xfId="2423"/>
    <cellStyle name="20 % - Accent2 92" xfId="2424"/>
    <cellStyle name="20 % - Accent2 93" xfId="2425"/>
    <cellStyle name="20 % - Accent2 94" xfId="2426"/>
    <cellStyle name="20 % - Accent2 95" xfId="2427"/>
    <cellStyle name="20 % - Accent2 96" xfId="2428"/>
    <cellStyle name="20 % - Accent2 97" xfId="2429"/>
    <cellStyle name="20 % - Accent2 98" xfId="2430"/>
    <cellStyle name="20 % - Accent2 99" xfId="2431"/>
    <cellStyle name="20 % - Accent3 10" xfId="209"/>
    <cellStyle name="20 % - Accent3 10 2" xfId="210"/>
    <cellStyle name="20 % - Accent3 10 2 2" xfId="211"/>
    <cellStyle name="20 % - Accent3 10 2 3" xfId="2432"/>
    <cellStyle name="20 % - Accent3 10 3" xfId="212"/>
    <cellStyle name="20 % - Accent3 10 3 2" xfId="2433"/>
    <cellStyle name="20 % - Accent3 10 3 3" xfId="2434"/>
    <cellStyle name="20 % - Accent3 10 4" xfId="2435"/>
    <cellStyle name="20 % - Accent3 10 5" xfId="2436"/>
    <cellStyle name="20 % - Accent3 100" xfId="2437"/>
    <cellStyle name="20 % - Accent3 101" xfId="2438"/>
    <cellStyle name="20 % - Accent3 102" xfId="2439"/>
    <cellStyle name="20 % - Accent3 103" xfId="2440"/>
    <cellStyle name="20 % - Accent3 104" xfId="2441"/>
    <cellStyle name="20 % - Accent3 105" xfId="2442"/>
    <cellStyle name="20 % - Accent3 106" xfId="2443"/>
    <cellStyle name="20 % - Accent3 107" xfId="2444"/>
    <cellStyle name="20 % - Accent3 108" xfId="2445"/>
    <cellStyle name="20 % - Accent3 109" xfId="2446"/>
    <cellStyle name="20 % - Accent3 11" xfId="213"/>
    <cellStyle name="20 % - Accent3 11 2" xfId="214"/>
    <cellStyle name="20 % - Accent3 11 2 2" xfId="215"/>
    <cellStyle name="20 % - Accent3 11 2 3" xfId="2447"/>
    <cellStyle name="20 % - Accent3 11 3" xfId="216"/>
    <cellStyle name="20 % - Accent3 11 3 2" xfId="2448"/>
    <cellStyle name="20 % - Accent3 11 3 3" xfId="2449"/>
    <cellStyle name="20 % - Accent3 11 4" xfId="2450"/>
    <cellStyle name="20 % - Accent3 11 5" xfId="2451"/>
    <cellStyle name="20 % - Accent3 110" xfId="2452"/>
    <cellStyle name="20 % - Accent3 111" xfId="2453"/>
    <cellStyle name="20 % - Accent3 112" xfId="2454"/>
    <cellStyle name="20 % - Accent3 113" xfId="2455"/>
    <cellStyle name="20 % - Accent3 114" xfId="2456"/>
    <cellStyle name="20 % - Accent3 115" xfId="2457"/>
    <cellStyle name="20 % - Accent3 116" xfId="2458"/>
    <cellStyle name="20 % - Accent3 117" xfId="2459"/>
    <cellStyle name="20 % - Accent3 118" xfId="2460"/>
    <cellStyle name="20 % - Accent3 119" xfId="2461"/>
    <cellStyle name="20 % - Accent3 12" xfId="217"/>
    <cellStyle name="20 % - Accent3 12 2" xfId="218"/>
    <cellStyle name="20 % - Accent3 12 2 2" xfId="219"/>
    <cellStyle name="20 % - Accent3 12 2 3" xfId="2462"/>
    <cellStyle name="20 % - Accent3 12 3" xfId="220"/>
    <cellStyle name="20 % - Accent3 12 3 2" xfId="2463"/>
    <cellStyle name="20 % - Accent3 12 3 3" xfId="2464"/>
    <cellStyle name="20 % - Accent3 12 4" xfId="2465"/>
    <cellStyle name="20 % - Accent3 12 5" xfId="2466"/>
    <cellStyle name="20 % - Accent3 120" xfId="2467"/>
    <cellStyle name="20 % - Accent3 121" xfId="2468"/>
    <cellStyle name="20 % - Accent3 122" xfId="2469"/>
    <cellStyle name="20 % - Accent3 123" xfId="2470"/>
    <cellStyle name="20 % - Accent3 124" xfId="2471"/>
    <cellStyle name="20 % - Accent3 125" xfId="2472"/>
    <cellStyle name="20 % - Accent3 126" xfId="2473"/>
    <cellStyle name="20 % - Accent3 127" xfId="2474"/>
    <cellStyle name="20 % - Accent3 128" xfId="2475"/>
    <cellStyle name="20 % - Accent3 129" xfId="2476"/>
    <cellStyle name="20 % - Accent3 13" xfId="221"/>
    <cellStyle name="20 % - Accent3 13 2" xfId="222"/>
    <cellStyle name="20 % - Accent3 13 2 2" xfId="223"/>
    <cellStyle name="20 % - Accent3 13 2 3" xfId="2477"/>
    <cellStyle name="20 % - Accent3 13 3" xfId="224"/>
    <cellStyle name="20 % - Accent3 13 3 2" xfId="2478"/>
    <cellStyle name="20 % - Accent3 13 3 3" xfId="2479"/>
    <cellStyle name="20 % - Accent3 13 4" xfId="2480"/>
    <cellStyle name="20 % - Accent3 13 5" xfId="2481"/>
    <cellStyle name="20 % - Accent3 130" xfId="2482"/>
    <cellStyle name="20 % - Accent3 131" xfId="2483"/>
    <cellStyle name="20 % - Accent3 132" xfId="2484"/>
    <cellStyle name="20 % - Accent3 133" xfId="2485"/>
    <cellStyle name="20 % - Accent3 134" xfId="2486"/>
    <cellStyle name="20 % - Accent3 135" xfId="2487"/>
    <cellStyle name="20 % - Accent3 136" xfId="2488"/>
    <cellStyle name="20 % - Accent3 137" xfId="2489"/>
    <cellStyle name="20 % - Accent3 138" xfId="2490"/>
    <cellStyle name="20 % - Accent3 139" xfId="2491"/>
    <cellStyle name="20 % - Accent3 14" xfId="225"/>
    <cellStyle name="20 % - Accent3 14 2" xfId="226"/>
    <cellStyle name="20 % - Accent3 14 2 2" xfId="227"/>
    <cellStyle name="20 % - Accent3 14 2 3" xfId="2492"/>
    <cellStyle name="20 % - Accent3 14 3" xfId="228"/>
    <cellStyle name="20 % - Accent3 14 3 2" xfId="2493"/>
    <cellStyle name="20 % - Accent3 14 3 3" xfId="2494"/>
    <cellStyle name="20 % - Accent3 14 4" xfId="2495"/>
    <cellStyle name="20 % - Accent3 14 5" xfId="2496"/>
    <cellStyle name="20 % - Accent3 140" xfId="2497"/>
    <cellStyle name="20 % - Accent3 15" xfId="229"/>
    <cellStyle name="20 % - Accent3 15 2" xfId="230"/>
    <cellStyle name="20 % - Accent3 15 2 2" xfId="231"/>
    <cellStyle name="20 % - Accent3 15 2 3" xfId="2498"/>
    <cellStyle name="20 % - Accent3 15 3" xfId="232"/>
    <cellStyle name="20 % - Accent3 15 3 2" xfId="2499"/>
    <cellStyle name="20 % - Accent3 15 3 3" xfId="2500"/>
    <cellStyle name="20 % - Accent3 15 4" xfId="2501"/>
    <cellStyle name="20 % - Accent3 15 5" xfId="2502"/>
    <cellStyle name="20 % - Accent3 16" xfId="233"/>
    <cellStyle name="20 % - Accent3 16 2" xfId="234"/>
    <cellStyle name="20 % - Accent3 16 2 2" xfId="235"/>
    <cellStyle name="20 % - Accent3 16 2 3" xfId="2503"/>
    <cellStyle name="20 % - Accent3 16 3" xfId="236"/>
    <cellStyle name="20 % - Accent3 16 3 2" xfId="2504"/>
    <cellStyle name="20 % - Accent3 16 3 3" xfId="2505"/>
    <cellStyle name="20 % - Accent3 16 4" xfId="2506"/>
    <cellStyle name="20 % - Accent3 16 5" xfId="2507"/>
    <cellStyle name="20 % - Accent3 17" xfId="237"/>
    <cellStyle name="20 % - Accent3 17 2" xfId="238"/>
    <cellStyle name="20 % - Accent3 17 2 2" xfId="239"/>
    <cellStyle name="20 % - Accent3 17 2 3" xfId="2508"/>
    <cellStyle name="20 % - Accent3 17 3" xfId="240"/>
    <cellStyle name="20 % - Accent3 17 3 2" xfId="2509"/>
    <cellStyle name="20 % - Accent3 17 3 3" xfId="2510"/>
    <cellStyle name="20 % - Accent3 17 4" xfId="2511"/>
    <cellStyle name="20 % - Accent3 17 5" xfId="2512"/>
    <cellStyle name="20 % - Accent3 18" xfId="241"/>
    <cellStyle name="20 % - Accent3 18 2" xfId="242"/>
    <cellStyle name="20 % - Accent3 18 2 2" xfId="243"/>
    <cellStyle name="20 % - Accent3 18 2 3" xfId="2513"/>
    <cellStyle name="20 % - Accent3 18 3" xfId="244"/>
    <cellStyle name="20 % - Accent3 18 3 2" xfId="2514"/>
    <cellStyle name="20 % - Accent3 18 3 3" xfId="2515"/>
    <cellStyle name="20 % - Accent3 18 4" xfId="2516"/>
    <cellStyle name="20 % - Accent3 18 5" xfId="2517"/>
    <cellStyle name="20 % - Accent3 19" xfId="2518"/>
    <cellStyle name="20 % - Accent3 19 2" xfId="2519"/>
    <cellStyle name="20 % - Accent3 19 2 2" xfId="2520"/>
    <cellStyle name="20 % - Accent3 19 2 3" xfId="2521"/>
    <cellStyle name="20 % - Accent3 19 3" xfId="2522"/>
    <cellStyle name="20 % - Accent3 19 3 2" xfId="2523"/>
    <cellStyle name="20 % - Accent3 19 3 3" xfId="2524"/>
    <cellStyle name="20 % - Accent3 19 4" xfId="2525"/>
    <cellStyle name="20 % - Accent3 19 5" xfId="2526"/>
    <cellStyle name="20 % - Accent3 2" xfId="245"/>
    <cellStyle name="20 % - Accent3 2 2" xfId="246"/>
    <cellStyle name="20 % - Accent3 2 2 2" xfId="247"/>
    <cellStyle name="20 % - Accent3 2 2 3" xfId="2527"/>
    <cellStyle name="20 % - Accent3 2 3" xfId="248"/>
    <cellStyle name="20 % - Accent3 2 3 2" xfId="2528"/>
    <cellStyle name="20 % - Accent3 2 3 3" xfId="2529"/>
    <cellStyle name="20 % - Accent3 2 4" xfId="2530"/>
    <cellStyle name="20 % - Accent3 2 5" xfId="2531"/>
    <cellStyle name="20 % - Accent3 20" xfId="2532"/>
    <cellStyle name="20 % - Accent3 20 2" xfId="2533"/>
    <cellStyle name="20 % - Accent3 20 2 2" xfId="2534"/>
    <cellStyle name="20 % - Accent3 20 2 3" xfId="2535"/>
    <cellStyle name="20 % - Accent3 20 3" xfId="2536"/>
    <cellStyle name="20 % - Accent3 20 3 2" xfId="2537"/>
    <cellStyle name="20 % - Accent3 20 3 3" xfId="2538"/>
    <cellStyle name="20 % - Accent3 20 4" xfId="2539"/>
    <cellStyle name="20 % - Accent3 20 5" xfId="2540"/>
    <cellStyle name="20 % - Accent3 21" xfId="2541"/>
    <cellStyle name="20 % - Accent3 21 2" xfId="2542"/>
    <cellStyle name="20 % - Accent3 21 2 2" xfId="2543"/>
    <cellStyle name="20 % - Accent3 21 2 3" xfId="2544"/>
    <cellStyle name="20 % - Accent3 21 3" xfId="2545"/>
    <cellStyle name="20 % - Accent3 21 3 2" xfId="2546"/>
    <cellStyle name="20 % - Accent3 21 3 3" xfId="2547"/>
    <cellStyle name="20 % - Accent3 21 4" xfId="2548"/>
    <cellStyle name="20 % - Accent3 21 5" xfId="2549"/>
    <cellStyle name="20 % - Accent3 22" xfId="2550"/>
    <cellStyle name="20 % - Accent3 22 2" xfId="2551"/>
    <cellStyle name="20 % - Accent3 22 2 2" xfId="2552"/>
    <cellStyle name="20 % - Accent3 22 2 3" xfId="2553"/>
    <cellStyle name="20 % - Accent3 22 3" xfId="2554"/>
    <cellStyle name="20 % - Accent3 22 3 2" xfId="2555"/>
    <cellStyle name="20 % - Accent3 22 3 3" xfId="2556"/>
    <cellStyle name="20 % - Accent3 22 4" xfId="2557"/>
    <cellStyle name="20 % - Accent3 22 5" xfId="2558"/>
    <cellStyle name="20 % - Accent3 23" xfId="2559"/>
    <cellStyle name="20 % - Accent3 23 2" xfId="2560"/>
    <cellStyle name="20 % - Accent3 23 2 2" xfId="2561"/>
    <cellStyle name="20 % - Accent3 23 2 3" xfId="2562"/>
    <cellStyle name="20 % - Accent3 23 3" xfId="2563"/>
    <cellStyle name="20 % - Accent3 23 3 2" xfId="2564"/>
    <cellStyle name="20 % - Accent3 23 3 3" xfId="2565"/>
    <cellStyle name="20 % - Accent3 23 4" xfId="2566"/>
    <cellStyle name="20 % - Accent3 23 5" xfId="2567"/>
    <cellStyle name="20 % - Accent3 24" xfId="2568"/>
    <cellStyle name="20 % - Accent3 24 2" xfId="2569"/>
    <cellStyle name="20 % - Accent3 24 2 2" xfId="2570"/>
    <cellStyle name="20 % - Accent3 24 2 3" xfId="2571"/>
    <cellStyle name="20 % - Accent3 24 3" xfId="2572"/>
    <cellStyle name="20 % - Accent3 24 3 2" xfId="2573"/>
    <cellStyle name="20 % - Accent3 24 3 3" xfId="2574"/>
    <cellStyle name="20 % - Accent3 24 4" xfId="2575"/>
    <cellStyle name="20 % - Accent3 24 5" xfId="2576"/>
    <cellStyle name="20 % - Accent3 25" xfId="2577"/>
    <cellStyle name="20 % - Accent3 25 2" xfId="2578"/>
    <cellStyle name="20 % - Accent3 25 2 2" xfId="2579"/>
    <cellStyle name="20 % - Accent3 25 2 3" xfId="2580"/>
    <cellStyle name="20 % - Accent3 25 3" xfId="2581"/>
    <cellStyle name="20 % - Accent3 25 3 2" xfId="2582"/>
    <cellStyle name="20 % - Accent3 25 3 3" xfId="2583"/>
    <cellStyle name="20 % - Accent3 25 4" xfId="2584"/>
    <cellStyle name="20 % - Accent3 25 5" xfId="2585"/>
    <cellStyle name="20 % - Accent3 26" xfId="2586"/>
    <cellStyle name="20 % - Accent3 26 2" xfId="2587"/>
    <cellStyle name="20 % - Accent3 26 2 2" xfId="2588"/>
    <cellStyle name="20 % - Accent3 26 2 3" xfId="2589"/>
    <cellStyle name="20 % - Accent3 26 3" xfId="2590"/>
    <cellStyle name="20 % - Accent3 26 3 2" xfId="2591"/>
    <cellStyle name="20 % - Accent3 26 3 3" xfId="2592"/>
    <cellStyle name="20 % - Accent3 26 4" xfId="2593"/>
    <cellStyle name="20 % - Accent3 26 5" xfId="2594"/>
    <cellStyle name="20 % - Accent3 27" xfId="2595"/>
    <cellStyle name="20 % - Accent3 27 2" xfId="2596"/>
    <cellStyle name="20 % - Accent3 27 2 2" xfId="2597"/>
    <cellStyle name="20 % - Accent3 27 2 3" xfId="2598"/>
    <cellStyle name="20 % - Accent3 27 3" xfId="2599"/>
    <cellStyle name="20 % - Accent3 27 3 2" xfId="2600"/>
    <cellStyle name="20 % - Accent3 27 3 3" xfId="2601"/>
    <cellStyle name="20 % - Accent3 27 4" xfId="2602"/>
    <cellStyle name="20 % - Accent3 27 5" xfId="2603"/>
    <cellStyle name="20 % - Accent3 28" xfId="2604"/>
    <cellStyle name="20 % - Accent3 28 2" xfId="2605"/>
    <cellStyle name="20 % - Accent3 28 2 2" xfId="2606"/>
    <cellStyle name="20 % - Accent3 28 2 3" xfId="2607"/>
    <cellStyle name="20 % - Accent3 28 3" xfId="2608"/>
    <cellStyle name="20 % - Accent3 28 3 2" xfId="2609"/>
    <cellStyle name="20 % - Accent3 28 3 3" xfId="2610"/>
    <cellStyle name="20 % - Accent3 28 4" xfId="2611"/>
    <cellStyle name="20 % - Accent3 28 5" xfId="2612"/>
    <cellStyle name="20 % - Accent3 29" xfId="2613"/>
    <cellStyle name="20 % - Accent3 29 2" xfId="2614"/>
    <cellStyle name="20 % - Accent3 29 2 2" xfId="2615"/>
    <cellStyle name="20 % - Accent3 29 2 3" xfId="2616"/>
    <cellStyle name="20 % - Accent3 29 3" xfId="2617"/>
    <cellStyle name="20 % - Accent3 29 3 2" xfId="2618"/>
    <cellStyle name="20 % - Accent3 29 3 3" xfId="2619"/>
    <cellStyle name="20 % - Accent3 29 4" xfId="2620"/>
    <cellStyle name="20 % - Accent3 29 5" xfId="2621"/>
    <cellStyle name="20 % - Accent3 3" xfId="249"/>
    <cellStyle name="20 % - Accent3 3 2" xfId="250"/>
    <cellStyle name="20 % - Accent3 3 2 2" xfId="251"/>
    <cellStyle name="20 % - Accent3 3 2 3" xfId="2622"/>
    <cellStyle name="20 % - Accent3 3 3" xfId="252"/>
    <cellStyle name="20 % - Accent3 3 3 2" xfId="2623"/>
    <cellStyle name="20 % - Accent3 3 3 3" xfId="2624"/>
    <cellStyle name="20 % - Accent3 3 4" xfId="2625"/>
    <cellStyle name="20 % - Accent3 3 5" xfId="2626"/>
    <cellStyle name="20 % - Accent3 30" xfId="2627"/>
    <cellStyle name="20 % - Accent3 30 2" xfId="2628"/>
    <cellStyle name="20 % - Accent3 30 2 2" xfId="2629"/>
    <cellStyle name="20 % - Accent3 30 2 3" xfId="2630"/>
    <cellStyle name="20 % - Accent3 30 3" xfId="2631"/>
    <cellStyle name="20 % - Accent3 30 3 2" xfId="2632"/>
    <cellStyle name="20 % - Accent3 30 3 3" xfId="2633"/>
    <cellStyle name="20 % - Accent3 30 4" xfId="2634"/>
    <cellStyle name="20 % - Accent3 30 5" xfId="2635"/>
    <cellStyle name="20 % - Accent3 31" xfId="2636"/>
    <cellStyle name="20 % - Accent3 31 2" xfId="2637"/>
    <cellStyle name="20 % - Accent3 31 2 2" xfId="2638"/>
    <cellStyle name="20 % - Accent3 31 2 3" xfId="2639"/>
    <cellStyle name="20 % - Accent3 31 3" xfId="2640"/>
    <cellStyle name="20 % - Accent3 31 3 2" xfId="2641"/>
    <cellStyle name="20 % - Accent3 31 3 3" xfId="2642"/>
    <cellStyle name="20 % - Accent3 31 4" xfId="2643"/>
    <cellStyle name="20 % - Accent3 31 5" xfId="2644"/>
    <cellStyle name="20 % - Accent3 32" xfId="2645"/>
    <cellStyle name="20 % - Accent3 32 2" xfId="2646"/>
    <cellStyle name="20 % - Accent3 32 2 2" xfId="2647"/>
    <cellStyle name="20 % - Accent3 32 2 3" xfId="2648"/>
    <cellStyle name="20 % - Accent3 32 3" xfId="2649"/>
    <cellStyle name="20 % - Accent3 32 3 2" xfId="2650"/>
    <cellStyle name="20 % - Accent3 32 3 3" xfId="2651"/>
    <cellStyle name="20 % - Accent3 32 4" xfId="2652"/>
    <cellStyle name="20 % - Accent3 32 5" xfId="2653"/>
    <cellStyle name="20 % - Accent3 33" xfId="2654"/>
    <cellStyle name="20 % - Accent3 33 2" xfId="2655"/>
    <cellStyle name="20 % - Accent3 33 2 2" xfId="2656"/>
    <cellStyle name="20 % - Accent3 33 2 3" xfId="2657"/>
    <cellStyle name="20 % - Accent3 33 3" xfId="2658"/>
    <cellStyle name="20 % - Accent3 33 3 2" xfId="2659"/>
    <cellStyle name="20 % - Accent3 33 3 3" xfId="2660"/>
    <cellStyle name="20 % - Accent3 33 4" xfId="2661"/>
    <cellStyle name="20 % - Accent3 33 5" xfId="2662"/>
    <cellStyle name="20 % - Accent3 34" xfId="2663"/>
    <cellStyle name="20 % - Accent3 34 2" xfId="2664"/>
    <cellStyle name="20 % - Accent3 34 2 2" xfId="2665"/>
    <cellStyle name="20 % - Accent3 34 2 3" xfId="2666"/>
    <cellStyle name="20 % - Accent3 34 3" xfId="2667"/>
    <cellStyle name="20 % - Accent3 34 3 2" xfId="2668"/>
    <cellStyle name="20 % - Accent3 34 3 3" xfId="2669"/>
    <cellStyle name="20 % - Accent3 34 4" xfId="2670"/>
    <cellStyle name="20 % - Accent3 34 5" xfId="2671"/>
    <cellStyle name="20 % - Accent3 35" xfId="2672"/>
    <cellStyle name="20 % - Accent3 35 2" xfId="2673"/>
    <cellStyle name="20 % - Accent3 35 2 2" xfId="2674"/>
    <cellStyle name="20 % - Accent3 35 2 3" xfId="2675"/>
    <cellStyle name="20 % - Accent3 35 3" xfId="2676"/>
    <cellStyle name="20 % - Accent3 35 3 2" xfId="2677"/>
    <cellStyle name="20 % - Accent3 35 3 3" xfId="2678"/>
    <cellStyle name="20 % - Accent3 35 4" xfId="2679"/>
    <cellStyle name="20 % - Accent3 35 5" xfId="2680"/>
    <cellStyle name="20 % - Accent3 36" xfId="2681"/>
    <cellStyle name="20 % - Accent3 36 2" xfId="2682"/>
    <cellStyle name="20 % - Accent3 36 2 2" xfId="2683"/>
    <cellStyle name="20 % - Accent3 36 2 3" xfId="2684"/>
    <cellStyle name="20 % - Accent3 36 3" xfId="2685"/>
    <cellStyle name="20 % - Accent3 36 3 2" xfId="2686"/>
    <cellStyle name="20 % - Accent3 36 3 3" xfId="2687"/>
    <cellStyle name="20 % - Accent3 36 4" xfId="2688"/>
    <cellStyle name="20 % - Accent3 36 5" xfId="2689"/>
    <cellStyle name="20 % - Accent3 37" xfId="2690"/>
    <cellStyle name="20 % - Accent3 37 2" xfId="2691"/>
    <cellStyle name="20 % - Accent3 37 2 2" xfId="2692"/>
    <cellStyle name="20 % - Accent3 37 2 3" xfId="2693"/>
    <cellStyle name="20 % - Accent3 37 3" xfId="2694"/>
    <cellStyle name="20 % - Accent3 37 3 2" xfId="2695"/>
    <cellStyle name="20 % - Accent3 37 3 3" xfId="2696"/>
    <cellStyle name="20 % - Accent3 37 4" xfId="2697"/>
    <cellStyle name="20 % - Accent3 37 5" xfId="2698"/>
    <cellStyle name="20 % - Accent3 38" xfId="2699"/>
    <cellStyle name="20 % - Accent3 38 2" xfId="2700"/>
    <cellStyle name="20 % - Accent3 38 2 2" xfId="2701"/>
    <cellStyle name="20 % - Accent3 38 2 3" xfId="2702"/>
    <cellStyle name="20 % - Accent3 38 3" xfId="2703"/>
    <cellStyle name="20 % - Accent3 38 3 2" xfId="2704"/>
    <cellStyle name="20 % - Accent3 38 3 3" xfId="2705"/>
    <cellStyle name="20 % - Accent3 38 4" xfId="2706"/>
    <cellStyle name="20 % - Accent3 38 5" xfId="2707"/>
    <cellStyle name="20 % - Accent3 39" xfId="2708"/>
    <cellStyle name="20 % - Accent3 39 2" xfId="2709"/>
    <cellStyle name="20 % - Accent3 39 2 2" xfId="2710"/>
    <cellStyle name="20 % - Accent3 39 2 3" xfId="2711"/>
    <cellStyle name="20 % - Accent3 39 3" xfId="2712"/>
    <cellStyle name="20 % - Accent3 39 3 2" xfId="2713"/>
    <cellStyle name="20 % - Accent3 39 3 3" xfId="2714"/>
    <cellStyle name="20 % - Accent3 39 4" xfId="2715"/>
    <cellStyle name="20 % - Accent3 39 5" xfId="2716"/>
    <cellStyle name="20 % - Accent3 4" xfId="253"/>
    <cellStyle name="20 % - Accent3 4 2" xfId="254"/>
    <cellStyle name="20 % - Accent3 4 2 2" xfId="255"/>
    <cellStyle name="20 % - Accent3 4 2 3" xfId="2717"/>
    <cellStyle name="20 % - Accent3 4 3" xfId="256"/>
    <cellStyle name="20 % - Accent3 4 3 2" xfId="2718"/>
    <cellStyle name="20 % - Accent3 4 3 3" xfId="2719"/>
    <cellStyle name="20 % - Accent3 4 4" xfId="2720"/>
    <cellStyle name="20 % - Accent3 4 5" xfId="2721"/>
    <cellStyle name="20 % - Accent3 40" xfId="2722"/>
    <cellStyle name="20 % - Accent3 40 2" xfId="2723"/>
    <cellStyle name="20 % - Accent3 40 2 2" xfId="2724"/>
    <cellStyle name="20 % - Accent3 40 2 3" xfId="2725"/>
    <cellStyle name="20 % - Accent3 40 3" xfId="2726"/>
    <cellStyle name="20 % - Accent3 40 3 2" xfId="2727"/>
    <cellStyle name="20 % - Accent3 40 3 3" xfId="2728"/>
    <cellStyle name="20 % - Accent3 40 4" xfId="2729"/>
    <cellStyle name="20 % - Accent3 40 5" xfId="2730"/>
    <cellStyle name="20 % - Accent3 41" xfId="2731"/>
    <cellStyle name="20 % - Accent3 41 2" xfId="2732"/>
    <cellStyle name="20 % - Accent3 41 2 2" xfId="2733"/>
    <cellStyle name="20 % - Accent3 41 2 3" xfId="2734"/>
    <cellStyle name="20 % - Accent3 41 3" xfId="2735"/>
    <cellStyle name="20 % - Accent3 41 3 2" xfId="2736"/>
    <cellStyle name="20 % - Accent3 41 3 3" xfId="2737"/>
    <cellStyle name="20 % - Accent3 41 4" xfId="2738"/>
    <cellStyle name="20 % - Accent3 41 5" xfId="2739"/>
    <cellStyle name="20 % - Accent3 42" xfId="2740"/>
    <cellStyle name="20 % - Accent3 42 2" xfId="2741"/>
    <cellStyle name="20 % - Accent3 42 2 2" xfId="2742"/>
    <cellStyle name="20 % - Accent3 42 2 3" xfId="2743"/>
    <cellStyle name="20 % - Accent3 42 3" xfId="2744"/>
    <cellStyle name="20 % - Accent3 42 3 2" xfId="2745"/>
    <cellStyle name="20 % - Accent3 42 3 3" xfId="2746"/>
    <cellStyle name="20 % - Accent3 42 4" xfId="2747"/>
    <cellStyle name="20 % - Accent3 42 5" xfId="2748"/>
    <cellStyle name="20 % - Accent3 43" xfId="2749"/>
    <cellStyle name="20 % - Accent3 43 2" xfId="2750"/>
    <cellStyle name="20 % - Accent3 43 2 2" xfId="2751"/>
    <cellStyle name="20 % - Accent3 43 2 3" xfId="2752"/>
    <cellStyle name="20 % - Accent3 43 3" xfId="2753"/>
    <cellStyle name="20 % - Accent3 43 3 2" xfId="2754"/>
    <cellStyle name="20 % - Accent3 43 3 3" xfId="2755"/>
    <cellStyle name="20 % - Accent3 43 4" xfId="2756"/>
    <cellStyle name="20 % - Accent3 43 5" xfId="2757"/>
    <cellStyle name="20 % - Accent3 44" xfId="2758"/>
    <cellStyle name="20 % - Accent3 44 2" xfId="2759"/>
    <cellStyle name="20 % - Accent3 44 2 2" xfId="2760"/>
    <cellStyle name="20 % - Accent3 44 2 3" xfId="2761"/>
    <cellStyle name="20 % - Accent3 44 3" xfId="2762"/>
    <cellStyle name="20 % - Accent3 44 3 2" xfId="2763"/>
    <cellStyle name="20 % - Accent3 44 3 3" xfId="2764"/>
    <cellStyle name="20 % - Accent3 44 4" xfId="2765"/>
    <cellStyle name="20 % - Accent3 44 5" xfId="2766"/>
    <cellStyle name="20 % - Accent3 45" xfId="2767"/>
    <cellStyle name="20 % - Accent3 45 2" xfId="2768"/>
    <cellStyle name="20 % - Accent3 45 2 2" xfId="2769"/>
    <cellStyle name="20 % - Accent3 45 2 3" xfId="2770"/>
    <cellStyle name="20 % - Accent3 45 3" xfId="2771"/>
    <cellStyle name="20 % - Accent3 45 3 2" xfId="2772"/>
    <cellStyle name="20 % - Accent3 45 3 3" xfId="2773"/>
    <cellStyle name="20 % - Accent3 45 4" xfId="2774"/>
    <cellStyle name="20 % - Accent3 45 5" xfId="2775"/>
    <cellStyle name="20 % - Accent3 46" xfId="2776"/>
    <cellStyle name="20 % - Accent3 46 2" xfId="2777"/>
    <cellStyle name="20 % - Accent3 46 2 2" xfId="2778"/>
    <cellStyle name="20 % - Accent3 46 2 3" xfId="2779"/>
    <cellStyle name="20 % - Accent3 46 3" xfId="2780"/>
    <cellStyle name="20 % - Accent3 46 3 2" xfId="2781"/>
    <cellStyle name="20 % - Accent3 46 3 3" xfId="2782"/>
    <cellStyle name="20 % - Accent3 46 4" xfId="2783"/>
    <cellStyle name="20 % - Accent3 46 5" xfId="2784"/>
    <cellStyle name="20 % - Accent3 47" xfId="2785"/>
    <cellStyle name="20 % - Accent3 47 2" xfId="2786"/>
    <cellStyle name="20 % - Accent3 47 2 2" xfId="2787"/>
    <cellStyle name="20 % - Accent3 47 2 3" xfId="2788"/>
    <cellStyle name="20 % - Accent3 47 3" xfId="2789"/>
    <cellStyle name="20 % - Accent3 47 3 2" xfId="2790"/>
    <cellStyle name="20 % - Accent3 47 3 3" xfId="2791"/>
    <cellStyle name="20 % - Accent3 47 4" xfId="2792"/>
    <cellStyle name="20 % - Accent3 47 5" xfId="2793"/>
    <cellStyle name="20 % - Accent3 48" xfId="2794"/>
    <cellStyle name="20 % - Accent3 48 2" xfId="2795"/>
    <cellStyle name="20 % - Accent3 48 2 2" xfId="2796"/>
    <cellStyle name="20 % - Accent3 48 2 3" xfId="2797"/>
    <cellStyle name="20 % - Accent3 48 3" xfId="2798"/>
    <cellStyle name="20 % - Accent3 48 3 2" xfId="2799"/>
    <cellStyle name="20 % - Accent3 48 3 3" xfId="2800"/>
    <cellStyle name="20 % - Accent3 48 4" xfId="2801"/>
    <cellStyle name="20 % - Accent3 48 5" xfId="2802"/>
    <cellStyle name="20 % - Accent3 49" xfId="2803"/>
    <cellStyle name="20 % - Accent3 49 2" xfId="2804"/>
    <cellStyle name="20 % - Accent3 49 2 2" xfId="2805"/>
    <cellStyle name="20 % - Accent3 49 2 3" xfId="2806"/>
    <cellStyle name="20 % - Accent3 49 3" xfId="2807"/>
    <cellStyle name="20 % - Accent3 49 3 2" xfId="2808"/>
    <cellStyle name="20 % - Accent3 49 3 3" xfId="2809"/>
    <cellStyle name="20 % - Accent3 49 4" xfId="2810"/>
    <cellStyle name="20 % - Accent3 49 5" xfId="2811"/>
    <cellStyle name="20 % - Accent3 5" xfId="257"/>
    <cellStyle name="20 % - Accent3 5 2" xfId="258"/>
    <cellStyle name="20 % - Accent3 5 2 2" xfId="259"/>
    <cellStyle name="20 % - Accent3 5 2 3" xfId="2812"/>
    <cellStyle name="20 % - Accent3 5 3" xfId="260"/>
    <cellStyle name="20 % - Accent3 5 3 2" xfId="2813"/>
    <cellStyle name="20 % - Accent3 5 3 3" xfId="2814"/>
    <cellStyle name="20 % - Accent3 5 4" xfId="2815"/>
    <cellStyle name="20 % - Accent3 5 5" xfId="2816"/>
    <cellStyle name="20 % - Accent3 50" xfId="2817"/>
    <cellStyle name="20 % - Accent3 50 2" xfId="2818"/>
    <cellStyle name="20 % - Accent3 50 2 2" xfId="2819"/>
    <cellStyle name="20 % - Accent3 50 2 3" xfId="2820"/>
    <cellStyle name="20 % - Accent3 50 3" xfId="2821"/>
    <cellStyle name="20 % - Accent3 50 3 2" xfId="2822"/>
    <cellStyle name="20 % - Accent3 50 3 3" xfId="2823"/>
    <cellStyle name="20 % - Accent3 50 4" xfId="2824"/>
    <cellStyle name="20 % - Accent3 50 5" xfId="2825"/>
    <cellStyle name="20 % - Accent3 51" xfId="2826"/>
    <cellStyle name="20 % - Accent3 51 2" xfId="2827"/>
    <cellStyle name="20 % - Accent3 51 2 2" xfId="2828"/>
    <cellStyle name="20 % - Accent3 51 2 3" xfId="2829"/>
    <cellStyle name="20 % - Accent3 51 3" xfId="2830"/>
    <cellStyle name="20 % - Accent3 51 3 2" xfId="2831"/>
    <cellStyle name="20 % - Accent3 51 3 3" xfId="2832"/>
    <cellStyle name="20 % - Accent3 51 4" xfId="2833"/>
    <cellStyle name="20 % - Accent3 51 5" xfId="2834"/>
    <cellStyle name="20 % - Accent3 52" xfId="2835"/>
    <cellStyle name="20 % - Accent3 52 2" xfId="2836"/>
    <cellStyle name="20 % - Accent3 52 2 2" xfId="2837"/>
    <cellStyle name="20 % - Accent3 52 2 3" xfId="2838"/>
    <cellStyle name="20 % - Accent3 52 3" xfId="2839"/>
    <cellStyle name="20 % - Accent3 52 3 2" xfId="2840"/>
    <cellStyle name="20 % - Accent3 52 3 3" xfId="2841"/>
    <cellStyle name="20 % - Accent3 52 4" xfId="2842"/>
    <cellStyle name="20 % - Accent3 52 5" xfId="2843"/>
    <cellStyle name="20 % - Accent3 53" xfId="2844"/>
    <cellStyle name="20 % - Accent3 53 2" xfId="2845"/>
    <cellStyle name="20 % - Accent3 53 2 2" xfId="2846"/>
    <cellStyle name="20 % - Accent3 53 2 3" xfId="2847"/>
    <cellStyle name="20 % - Accent3 53 3" xfId="2848"/>
    <cellStyle name="20 % - Accent3 53 3 2" xfId="2849"/>
    <cellStyle name="20 % - Accent3 53 3 3" xfId="2850"/>
    <cellStyle name="20 % - Accent3 53 4" xfId="2851"/>
    <cellStyle name="20 % - Accent3 53 5" xfId="2852"/>
    <cellStyle name="20 % - Accent3 54" xfId="2853"/>
    <cellStyle name="20 % - Accent3 54 2" xfId="2854"/>
    <cellStyle name="20 % - Accent3 54 2 2" xfId="2855"/>
    <cellStyle name="20 % - Accent3 54 2 3" xfId="2856"/>
    <cellStyle name="20 % - Accent3 54 3" xfId="2857"/>
    <cellStyle name="20 % - Accent3 54 3 2" xfId="2858"/>
    <cellStyle name="20 % - Accent3 54 3 3" xfId="2859"/>
    <cellStyle name="20 % - Accent3 54 4" xfId="2860"/>
    <cellStyle name="20 % - Accent3 54 5" xfId="2861"/>
    <cellStyle name="20 % - Accent3 55" xfId="2862"/>
    <cellStyle name="20 % - Accent3 55 2" xfId="2863"/>
    <cellStyle name="20 % - Accent3 55 2 2" xfId="2864"/>
    <cellStyle name="20 % - Accent3 55 2 3" xfId="2865"/>
    <cellStyle name="20 % - Accent3 55 3" xfId="2866"/>
    <cellStyle name="20 % - Accent3 55 3 2" xfId="2867"/>
    <cellStyle name="20 % - Accent3 55 3 3" xfId="2868"/>
    <cellStyle name="20 % - Accent3 55 4" xfId="2869"/>
    <cellStyle name="20 % - Accent3 55 5" xfId="2870"/>
    <cellStyle name="20 % - Accent3 56" xfId="2871"/>
    <cellStyle name="20 % - Accent3 56 2" xfId="2872"/>
    <cellStyle name="20 % - Accent3 56 2 2" xfId="2873"/>
    <cellStyle name="20 % - Accent3 56 2 3" xfId="2874"/>
    <cellStyle name="20 % - Accent3 56 3" xfId="2875"/>
    <cellStyle name="20 % - Accent3 56 3 2" xfId="2876"/>
    <cellStyle name="20 % - Accent3 56 3 3" xfId="2877"/>
    <cellStyle name="20 % - Accent3 56 4" xfId="2878"/>
    <cellStyle name="20 % - Accent3 56 5" xfId="2879"/>
    <cellStyle name="20 % - Accent3 57" xfId="2880"/>
    <cellStyle name="20 % - Accent3 57 2" xfId="2881"/>
    <cellStyle name="20 % - Accent3 57 2 2" xfId="2882"/>
    <cellStyle name="20 % - Accent3 57 2 3" xfId="2883"/>
    <cellStyle name="20 % - Accent3 57 3" xfId="2884"/>
    <cellStyle name="20 % - Accent3 57 3 2" xfId="2885"/>
    <cellStyle name="20 % - Accent3 57 3 3" xfId="2886"/>
    <cellStyle name="20 % - Accent3 57 4" xfId="2887"/>
    <cellStyle name="20 % - Accent3 57 5" xfId="2888"/>
    <cellStyle name="20 % - Accent3 58" xfId="2889"/>
    <cellStyle name="20 % - Accent3 58 2" xfId="2890"/>
    <cellStyle name="20 % - Accent3 58 2 2" xfId="2891"/>
    <cellStyle name="20 % - Accent3 58 2 3" xfId="2892"/>
    <cellStyle name="20 % - Accent3 58 3" xfId="2893"/>
    <cellStyle name="20 % - Accent3 58 3 2" xfId="2894"/>
    <cellStyle name="20 % - Accent3 58 3 3" xfId="2895"/>
    <cellStyle name="20 % - Accent3 58 4" xfId="2896"/>
    <cellStyle name="20 % - Accent3 58 5" xfId="2897"/>
    <cellStyle name="20 % - Accent3 59" xfId="2898"/>
    <cellStyle name="20 % - Accent3 59 2" xfId="2899"/>
    <cellStyle name="20 % - Accent3 59 2 2" xfId="2900"/>
    <cellStyle name="20 % - Accent3 59 2 3" xfId="2901"/>
    <cellStyle name="20 % - Accent3 59 3" xfId="2902"/>
    <cellStyle name="20 % - Accent3 59 3 2" xfId="2903"/>
    <cellStyle name="20 % - Accent3 59 3 3" xfId="2904"/>
    <cellStyle name="20 % - Accent3 59 4" xfId="2905"/>
    <cellStyle name="20 % - Accent3 59 5" xfId="2906"/>
    <cellStyle name="20 % - Accent3 6" xfId="261"/>
    <cellStyle name="20 % - Accent3 6 2" xfId="262"/>
    <cellStyle name="20 % - Accent3 6 2 2" xfId="263"/>
    <cellStyle name="20 % - Accent3 6 2 3" xfId="2907"/>
    <cellStyle name="20 % - Accent3 6 3" xfId="264"/>
    <cellStyle name="20 % - Accent3 6 3 2" xfId="2908"/>
    <cellStyle name="20 % - Accent3 6 3 3" xfId="2909"/>
    <cellStyle name="20 % - Accent3 6 4" xfId="2910"/>
    <cellStyle name="20 % - Accent3 6 5" xfId="2911"/>
    <cellStyle name="20 % - Accent3 60" xfId="2912"/>
    <cellStyle name="20 % - Accent3 60 2" xfId="2913"/>
    <cellStyle name="20 % - Accent3 60 2 2" xfId="2914"/>
    <cellStyle name="20 % - Accent3 60 2 3" xfId="2915"/>
    <cellStyle name="20 % - Accent3 60 3" xfId="2916"/>
    <cellStyle name="20 % - Accent3 60 3 2" xfId="2917"/>
    <cellStyle name="20 % - Accent3 60 3 3" xfId="2918"/>
    <cellStyle name="20 % - Accent3 60 4" xfId="2919"/>
    <cellStyle name="20 % - Accent3 60 5" xfId="2920"/>
    <cellStyle name="20 % - Accent3 61" xfId="2921"/>
    <cellStyle name="20 % - Accent3 61 2" xfId="2922"/>
    <cellStyle name="20 % - Accent3 61 2 2" xfId="2923"/>
    <cellStyle name="20 % - Accent3 61 2 3" xfId="2924"/>
    <cellStyle name="20 % - Accent3 61 3" xfId="2925"/>
    <cellStyle name="20 % - Accent3 61 3 2" xfId="2926"/>
    <cellStyle name="20 % - Accent3 61 3 3" xfId="2927"/>
    <cellStyle name="20 % - Accent3 61 4" xfId="2928"/>
    <cellStyle name="20 % - Accent3 61 5" xfId="2929"/>
    <cellStyle name="20 % - Accent3 62" xfId="2930"/>
    <cellStyle name="20 % - Accent3 62 2" xfId="2931"/>
    <cellStyle name="20 % - Accent3 62 2 2" xfId="2932"/>
    <cellStyle name="20 % - Accent3 62 2 3" xfId="2933"/>
    <cellStyle name="20 % - Accent3 62 3" xfId="2934"/>
    <cellStyle name="20 % - Accent3 62 3 2" xfId="2935"/>
    <cellStyle name="20 % - Accent3 62 3 3" xfId="2936"/>
    <cellStyle name="20 % - Accent3 62 4" xfId="2937"/>
    <cellStyle name="20 % - Accent3 62 5" xfId="2938"/>
    <cellStyle name="20 % - Accent3 63" xfId="2939"/>
    <cellStyle name="20 % - Accent3 63 2" xfId="2940"/>
    <cellStyle name="20 % - Accent3 63 2 2" xfId="2941"/>
    <cellStyle name="20 % - Accent3 63 2 3" xfId="2942"/>
    <cellStyle name="20 % - Accent3 63 3" xfId="2943"/>
    <cellStyle name="20 % - Accent3 63 3 2" xfId="2944"/>
    <cellStyle name="20 % - Accent3 63 3 3" xfId="2945"/>
    <cellStyle name="20 % - Accent3 63 4" xfId="2946"/>
    <cellStyle name="20 % - Accent3 63 5" xfId="2947"/>
    <cellStyle name="20 % - Accent3 64" xfId="2948"/>
    <cellStyle name="20 % - Accent3 64 2" xfId="2949"/>
    <cellStyle name="20 % - Accent3 64 2 2" xfId="2950"/>
    <cellStyle name="20 % - Accent3 64 2 3" xfId="2951"/>
    <cellStyle name="20 % - Accent3 64 3" xfId="2952"/>
    <cellStyle name="20 % - Accent3 64 3 2" xfId="2953"/>
    <cellStyle name="20 % - Accent3 64 3 3" xfId="2954"/>
    <cellStyle name="20 % - Accent3 64 4" xfId="2955"/>
    <cellStyle name="20 % - Accent3 64 5" xfId="2956"/>
    <cellStyle name="20 % - Accent3 65" xfId="2957"/>
    <cellStyle name="20 % - Accent3 65 2" xfId="2958"/>
    <cellStyle name="20 % - Accent3 65 2 2" xfId="2959"/>
    <cellStyle name="20 % - Accent3 65 2 3" xfId="2960"/>
    <cellStyle name="20 % - Accent3 65 3" xfId="2961"/>
    <cellStyle name="20 % - Accent3 65 3 2" xfId="2962"/>
    <cellStyle name="20 % - Accent3 65 3 3" xfId="2963"/>
    <cellStyle name="20 % - Accent3 65 4" xfId="2964"/>
    <cellStyle name="20 % - Accent3 65 5" xfId="2965"/>
    <cellStyle name="20 % - Accent3 66" xfId="2966"/>
    <cellStyle name="20 % - Accent3 66 2" xfId="2967"/>
    <cellStyle name="20 % - Accent3 66 2 2" xfId="2968"/>
    <cellStyle name="20 % - Accent3 66 2 3" xfId="2969"/>
    <cellStyle name="20 % - Accent3 66 3" xfId="2970"/>
    <cellStyle name="20 % - Accent3 66 3 2" xfId="2971"/>
    <cellStyle name="20 % - Accent3 66 3 3" xfId="2972"/>
    <cellStyle name="20 % - Accent3 66 4" xfId="2973"/>
    <cellStyle name="20 % - Accent3 66 5" xfId="2974"/>
    <cellStyle name="20 % - Accent3 67" xfId="2975"/>
    <cellStyle name="20 % - Accent3 67 2" xfId="2976"/>
    <cellStyle name="20 % - Accent3 67 2 2" xfId="2977"/>
    <cellStyle name="20 % - Accent3 67 2 3" xfId="2978"/>
    <cellStyle name="20 % - Accent3 67 3" xfId="2979"/>
    <cellStyle name="20 % - Accent3 67 3 2" xfId="2980"/>
    <cellStyle name="20 % - Accent3 67 3 3" xfId="2981"/>
    <cellStyle name="20 % - Accent3 67 4" xfId="2982"/>
    <cellStyle name="20 % - Accent3 67 5" xfId="2983"/>
    <cellStyle name="20 % - Accent3 68" xfId="2984"/>
    <cellStyle name="20 % - Accent3 68 2" xfId="2985"/>
    <cellStyle name="20 % - Accent3 68 2 2" xfId="2986"/>
    <cellStyle name="20 % - Accent3 68 2 3" xfId="2987"/>
    <cellStyle name="20 % - Accent3 68 3" xfId="2988"/>
    <cellStyle name="20 % - Accent3 68 3 2" xfId="2989"/>
    <cellStyle name="20 % - Accent3 68 3 3" xfId="2990"/>
    <cellStyle name="20 % - Accent3 68 4" xfId="2991"/>
    <cellStyle name="20 % - Accent3 68 5" xfId="2992"/>
    <cellStyle name="20 % - Accent3 69" xfId="2993"/>
    <cellStyle name="20 % - Accent3 69 2" xfId="2994"/>
    <cellStyle name="20 % - Accent3 69 2 2" xfId="2995"/>
    <cellStyle name="20 % - Accent3 69 2 3" xfId="2996"/>
    <cellStyle name="20 % - Accent3 69 3" xfId="2997"/>
    <cellStyle name="20 % - Accent3 69 3 2" xfId="2998"/>
    <cellStyle name="20 % - Accent3 69 3 3" xfId="2999"/>
    <cellStyle name="20 % - Accent3 69 4" xfId="3000"/>
    <cellStyle name="20 % - Accent3 69 5" xfId="3001"/>
    <cellStyle name="20 % - Accent3 7" xfId="265"/>
    <cellStyle name="20 % - Accent3 7 2" xfId="266"/>
    <cellStyle name="20 % - Accent3 7 2 2" xfId="267"/>
    <cellStyle name="20 % - Accent3 7 2 3" xfId="3002"/>
    <cellStyle name="20 % - Accent3 7 3" xfId="268"/>
    <cellStyle name="20 % - Accent3 7 3 2" xfId="3003"/>
    <cellStyle name="20 % - Accent3 7 3 3" xfId="3004"/>
    <cellStyle name="20 % - Accent3 7 4" xfId="3005"/>
    <cellStyle name="20 % - Accent3 7 5" xfId="3006"/>
    <cellStyle name="20 % - Accent3 70" xfId="3007"/>
    <cellStyle name="20 % - Accent3 70 2" xfId="3008"/>
    <cellStyle name="20 % - Accent3 70 2 2" xfId="3009"/>
    <cellStyle name="20 % - Accent3 70 2 3" xfId="3010"/>
    <cellStyle name="20 % - Accent3 70 3" xfId="3011"/>
    <cellStyle name="20 % - Accent3 70 3 2" xfId="3012"/>
    <cellStyle name="20 % - Accent3 70 3 3" xfId="3013"/>
    <cellStyle name="20 % - Accent3 70 4" xfId="3014"/>
    <cellStyle name="20 % - Accent3 70 5" xfId="3015"/>
    <cellStyle name="20 % - Accent3 71" xfId="3016"/>
    <cellStyle name="20 % - Accent3 71 2" xfId="3017"/>
    <cellStyle name="20 % - Accent3 71 2 2" xfId="3018"/>
    <cellStyle name="20 % - Accent3 71 2 3" xfId="3019"/>
    <cellStyle name="20 % - Accent3 71 3" xfId="3020"/>
    <cellStyle name="20 % - Accent3 71 3 2" xfId="3021"/>
    <cellStyle name="20 % - Accent3 71 3 3" xfId="3022"/>
    <cellStyle name="20 % - Accent3 71 4" xfId="3023"/>
    <cellStyle name="20 % - Accent3 71 5" xfId="3024"/>
    <cellStyle name="20 % - Accent3 72" xfId="3025"/>
    <cellStyle name="20 % - Accent3 72 2" xfId="3026"/>
    <cellStyle name="20 % - Accent3 72 2 2" xfId="3027"/>
    <cellStyle name="20 % - Accent3 72 2 3" xfId="3028"/>
    <cellStyle name="20 % - Accent3 72 3" xfId="3029"/>
    <cellStyle name="20 % - Accent3 72 3 2" xfId="3030"/>
    <cellStyle name="20 % - Accent3 72 3 3" xfId="3031"/>
    <cellStyle name="20 % - Accent3 72 4" xfId="3032"/>
    <cellStyle name="20 % - Accent3 72 5" xfId="3033"/>
    <cellStyle name="20 % - Accent3 73" xfId="3034"/>
    <cellStyle name="20 % - Accent3 73 2" xfId="3035"/>
    <cellStyle name="20 % - Accent3 73 2 2" xfId="3036"/>
    <cellStyle name="20 % - Accent3 73 2 3" xfId="3037"/>
    <cellStyle name="20 % - Accent3 73 3" xfId="3038"/>
    <cellStyle name="20 % - Accent3 73 3 2" xfId="3039"/>
    <cellStyle name="20 % - Accent3 73 3 3" xfId="3040"/>
    <cellStyle name="20 % - Accent3 73 4" xfId="3041"/>
    <cellStyle name="20 % - Accent3 73 5" xfId="3042"/>
    <cellStyle name="20 % - Accent3 74" xfId="3043"/>
    <cellStyle name="20 % - Accent3 74 2" xfId="3044"/>
    <cellStyle name="20 % - Accent3 74 3" xfId="3045"/>
    <cellStyle name="20 % - Accent3 75" xfId="3046"/>
    <cellStyle name="20 % - Accent3 75 2" xfId="3047"/>
    <cellStyle name="20 % - Accent3 75 3" xfId="3048"/>
    <cellStyle name="20 % - Accent3 76" xfId="3049"/>
    <cellStyle name="20 % - Accent3 76 2" xfId="3050"/>
    <cellStyle name="20 % - Accent3 76 3" xfId="3051"/>
    <cellStyle name="20 % - Accent3 77" xfId="3052"/>
    <cellStyle name="20 % - Accent3 77 2" xfId="3053"/>
    <cellStyle name="20 % - Accent3 77 3" xfId="3054"/>
    <cellStyle name="20 % - Accent3 78" xfId="3055"/>
    <cellStyle name="20 % - Accent3 79" xfId="3056"/>
    <cellStyle name="20 % - Accent3 8" xfId="269"/>
    <cellStyle name="20 % - Accent3 8 2" xfId="270"/>
    <cellStyle name="20 % - Accent3 8 2 2" xfId="271"/>
    <cellStyle name="20 % - Accent3 8 2 3" xfId="3057"/>
    <cellStyle name="20 % - Accent3 8 3" xfId="272"/>
    <cellStyle name="20 % - Accent3 8 3 2" xfId="3058"/>
    <cellStyle name="20 % - Accent3 8 3 3" xfId="3059"/>
    <cellStyle name="20 % - Accent3 8 4" xfId="3060"/>
    <cellStyle name="20 % - Accent3 8 5" xfId="3061"/>
    <cellStyle name="20 % - Accent3 80" xfId="3062"/>
    <cellStyle name="20 % - Accent3 81" xfId="3063"/>
    <cellStyle name="20 % - Accent3 82" xfId="3064"/>
    <cellStyle name="20 % - Accent3 83" xfId="3065"/>
    <cellStyle name="20 % - Accent3 84" xfId="3066"/>
    <cellStyle name="20 % - Accent3 85" xfId="3067"/>
    <cellStyle name="20 % - Accent3 86" xfId="3068"/>
    <cellStyle name="20 % - Accent3 87" xfId="3069"/>
    <cellStyle name="20 % - Accent3 88" xfId="3070"/>
    <cellStyle name="20 % - Accent3 89" xfId="3071"/>
    <cellStyle name="20 % - Accent3 9" xfId="273"/>
    <cellStyle name="20 % - Accent3 9 2" xfId="274"/>
    <cellStyle name="20 % - Accent3 9 2 2" xfId="275"/>
    <cellStyle name="20 % - Accent3 9 2 3" xfId="3072"/>
    <cellStyle name="20 % - Accent3 9 3" xfId="276"/>
    <cellStyle name="20 % - Accent3 9 3 2" xfId="3073"/>
    <cellStyle name="20 % - Accent3 9 3 3" xfId="3074"/>
    <cellStyle name="20 % - Accent3 9 4" xfId="3075"/>
    <cellStyle name="20 % - Accent3 9 5" xfId="3076"/>
    <cellStyle name="20 % - Accent3 90" xfId="3077"/>
    <cellStyle name="20 % - Accent3 91" xfId="3078"/>
    <cellStyle name="20 % - Accent3 92" xfId="3079"/>
    <cellStyle name="20 % - Accent3 93" xfId="3080"/>
    <cellStyle name="20 % - Accent3 94" xfId="3081"/>
    <cellStyle name="20 % - Accent3 95" xfId="3082"/>
    <cellStyle name="20 % - Accent3 96" xfId="3083"/>
    <cellStyle name="20 % - Accent3 97" xfId="3084"/>
    <cellStyle name="20 % - Accent3 98" xfId="3085"/>
    <cellStyle name="20 % - Accent3 99" xfId="3086"/>
    <cellStyle name="20 % - Accent4 10" xfId="277"/>
    <cellStyle name="20 % - Accent4 10 2" xfId="278"/>
    <cellStyle name="20 % - Accent4 10 2 2" xfId="279"/>
    <cellStyle name="20 % - Accent4 10 2 3" xfId="3087"/>
    <cellStyle name="20 % - Accent4 10 3" xfId="280"/>
    <cellStyle name="20 % - Accent4 10 3 2" xfId="3088"/>
    <cellStyle name="20 % - Accent4 10 3 3" xfId="3089"/>
    <cellStyle name="20 % - Accent4 10 4" xfId="3090"/>
    <cellStyle name="20 % - Accent4 10 5" xfId="3091"/>
    <cellStyle name="20 % - Accent4 100" xfId="3092"/>
    <cellStyle name="20 % - Accent4 101" xfId="3093"/>
    <cellStyle name="20 % - Accent4 102" xfId="3094"/>
    <cellStyle name="20 % - Accent4 103" xfId="3095"/>
    <cellStyle name="20 % - Accent4 104" xfId="3096"/>
    <cellStyle name="20 % - Accent4 105" xfId="3097"/>
    <cellStyle name="20 % - Accent4 106" xfId="3098"/>
    <cellStyle name="20 % - Accent4 107" xfId="3099"/>
    <cellStyle name="20 % - Accent4 108" xfId="3100"/>
    <cellStyle name="20 % - Accent4 109" xfId="3101"/>
    <cellStyle name="20 % - Accent4 11" xfId="281"/>
    <cellStyle name="20 % - Accent4 11 2" xfId="282"/>
    <cellStyle name="20 % - Accent4 11 2 2" xfId="283"/>
    <cellStyle name="20 % - Accent4 11 2 3" xfId="3102"/>
    <cellStyle name="20 % - Accent4 11 3" xfId="284"/>
    <cellStyle name="20 % - Accent4 11 3 2" xfId="3103"/>
    <cellStyle name="20 % - Accent4 11 3 3" xfId="3104"/>
    <cellStyle name="20 % - Accent4 11 4" xfId="3105"/>
    <cellStyle name="20 % - Accent4 11 5" xfId="3106"/>
    <cellStyle name="20 % - Accent4 110" xfId="3107"/>
    <cellStyle name="20 % - Accent4 111" xfId="3108"/>
    <cellStyle name="20 % - Accent4 112" xfId="3109"/>
    <cellStyle name="20 % - Accent4 113" xfId="3110"/>
    <cellStyle name="20 % - Accent4 114" xfId="3111"/>
    <cellStyle name="20 % - Accent4 115" xfId="3112"/>
    <cellStyle name="20 % - Accent4 116" xfId="3113"/>
    <cellStyle name="20 % - Accent4 117" xfId="3114"/>
    <cellStyle name="20 % - Accent4 118" xfId="3115"/>
    <cellStyle name="20 % - Accent4 119" xfId="3116"/>
    <cellStyle name="20 % - Accent4 12" xfId="285"/>
    <cellStyle name="20 % - Accent4 12 2" xfId="286"/>
    <cellStyle name="20 % - Accent4 12 2 2" xfId="287"/>
    <cellStyle name="20 % - Accent4 12 2 3" xfId="3117"/>
    <cellStyle name="20 % - Accent4 12 3" xfId="288"/>
    <cellStyle name="20 % - Accent4 12 3 2" xfId="3118"/>
    <cellStyle name="20 % - Accent4 12 3 3" xfId="3119"/>
    <cellStyle name="20 % - Accent4 12 4" xfId="3120"/>
    <cellStyle name="20 % - Accent4 12 5" xfId="3121"/>
    <cellStyle name="20 % - Accent4 120" xfId="3122"/>
    <cellStyle name="20 % - Accent4 121" xfId="3123"/>
    <cellStyle name="20 % - Accent4 122" xfId="3124"/>
    <cellStyle name="20 % - Accent4 123" xfId="3125"/>
    <cellStyle name="20 % - Accent4 124" xfId="3126"/>
    <cellStyle name="20 % - Accent4 125" xfId="3127"/>
    <cellStyle name="20 % - Accent4 126" xfId="3128"/>
    <cellStyle name="20 % - Accent4 127" xfId="3129"/>
    <cellStyle name="20 % - Accent4 128" xfId="3130"/>
    <cellStyle name="20 % - Accent4 129" xfId="3131"/>
    <cellStyle name="20 % - Accent4 13" xfId="289"/>
    <cellStyle name="20 % - Accent4 13 2" xfId="290"/>
    <cellStyle name="20 % - Accent4 13 2 2" xfId="291"/>
    <cellStyle name="20 % - Accent4 13 2 3" xfId="3132"/>
    <cellStyle name="20 % - Accent4 13 3" xfId="292"/>
    <cellStyle name="20 % - Accent4 13 3 2" xfId="3133"/>
    <cellStyle name="20 % - Accent4 13 3 3" xfId="3134"/>
    <cellStyle name="20 % - Accent4 13 4" xfId="3135"/>
    <cellStyle name="20 % - Accent4 13 5" xfId="3136"/>
    <cellStyle name="20 % - Accent4 130" xfId="3137"/>
    <cellStyle name="20 % - Accent4 131" xfId="3138"/>
    <cellStyle name="20 % - Accent4 132" xfId="3139"/>
    <cellStyle name="20 % - Accent4 133" xfId="3140"/>
    <cellStyle name="20 % - Accent4 134" xfId="3141"/>
    <cellStyle name="20 % - Accent4 135" xfId="3142"/>
    <cellStyle name="20 % - Accent4 136" xfId="3143"/>
    <cellStyle name="20 % - Accent4 137" xfId="3144"/>
    <cellStyle name="20 % - Accent4 138" xfId="3145"/>
    <cellStyle name="20 % - Accent4 139" xfId="3146"/>
    <cellStyle name="20 % - Accent4 14" xfId="293"/>
    <cellStyle name="20 % - Accent4 14 2" xfId="294"/>
    <cellStyle name="20 % - Accent4 14 2 2" xfId="295"/>
    <cellStyle name="20 % - Accent4 14 2 3" xfId="3147"/>
    <cellStyle name="20 % - Accent4 14 3" xfId="296"/>
    <cellStyle name="20 % - Accent4 14 3 2" xfId="3148"/>
    <cellStyle name="20 % - Accent4 14 3 3" xfId="3149"/>
    <cellStyle name="20 % - Accent4 14 4" xfId="3150"/>
    <cellStyle name="20 % - Accent4 14 5" xfId="3151"/>
    <cellStyle name="20 % - Accent4 140" xfId="3152"/>
    <cellStyle name="20 % - Accent4 15" xfId="297"/>
    <cellStyle name="20 % - Accent4 15 2" xfId="298"/>
    <cellStyle name="20 % - Accent4 15 2 2" xfId="299"/>
    <cellStyle name="20 % - Accent4 15 2 3" xfId="3153"/>
    <cellStyle name="20 % - Accent4 15 3" xfId="300"/>
    <cellStyle name="20 % - Accent4 15 3 2" xfId="3154"/>
    <cellStyle name="20 % - Accent4 15 3 3" xfId="3155"/>
    <cellStyle name="20 % - Accent4 15 4" xfId="3156"/>
    <cellStyle name="20 % - Accent4 15 5" xfId="3157"/>
    <cellStyle name="20 % - Accent4 16" xfId="301"/>
    <cellStyle name="20 % - Accent4 16 2" xfId="302"/>
    <cellStyle name="20 % - Accent4 16 2 2" xfId="303"/>
    <cellStyle name="20 % - Accent4 16 2 3" xfId="3158"/>
    <cellStyle name="20 % - Accent4 16 3" xfId="304"/>
    <cellStyle name="20 % - Accent4 16 3 2" xfId="3159"/>
    <cellStyle name="20 % - Accent4 16 3 3" xfId="3160"/>
    <cellStyle name="20 % - Accent4 16 4" xfId="3161"/>
    <cellStyle name="20 % - Accent4 16 5" xfId="3162"/>
    <cellStyle name="20 % - Accent4 17" xfId="305"/>
    <cellStyle name="20 % - Accent4 17 2" xfId="306"/>
    <cellStyle name="20 % - Accent4 17 2 2" xfId="307"/>
    <cellStyle name="20 % - Accent4 17 2 3" xfId="3163"/>
    <cellStyle name="20 % - Accent4 17 3" xfId="308"/>
    <cellStyle name="20 % - Accent4 17 3 2" xfId="3164"/>
    <cellStyle name="20 % - Accent4 17 3 3" xfId="3165"/>
    <cellStyle name="20 % - Accent4 17 4" xfId="3166"/>
    <cellStyle name="20 % - Accent4 17 5" xfId="3167"/>
    <cellStyle name="20 % - Accent4 18" xfId="309"/>
    <cellStyle name="20 % - Accent4 18 2" xfId="310"/>
    <cellStyle name="20 % - Accent4 18 2 2" xfId="311"/>
    <cellStyle name="20 % - Accent4 18 2 3" xfId="3168"/>
    <cellStyle name="20 % - Accent4 18 3" xfId="312"/>
    <cellStyle name="20 % - Accent4 18 3 2" xfId="3169"/>
    <cellStyle name="20 % - Accent4 18 3 3" xfId="3170"/>
    <cellStyle name="20 % - Accent4 18 4" xfId="3171"/>
    <cellStyle name="20 % - Accent4 18 5" xfId="3172"/>
    <cellStyle name="20 % - Accent4 19" xfId="3173"/>
    <cellStyle name="20 % - Accent4 19 2" xfId="3174"/>
    <cellStyle name="20 % - Accent4 19 2 2" xfId="3175"/>
    <cellStyle name="20 % - Accent4 19 2 3" xfId="3176"/>
    <cellStyle name="20 % - Accent4 19 3" xfId="3177"/>
    <cellStyle name="20 % - Accent4 19 3 2" xfId="3178"/>
    <cellStyle name="20 % - Accent4 19 3 3" xfId="3179"/>
    <cellStyle name="20 % - Accent4 19 4" xfId="3180"/>
    <cellStyle name="20 % - Accent4 19 5" xfId="3181"/>
    <cellStyle name="20 % - Accent4 2" xfId="313"/>
    <cellStyle name="20 % - Accent4 2 2" xfId="314"/>
    <cellStyle name="20 % - Accent4 2 2 2" xfId="315"/>
    <cellStyle name="20 % - Accent4 2 2 3" xfId="3182"/>
    <cellStyle name="20 % - Accent4 2 3" xfId="316"/>
    <cellStyle name="20 % - Accent4 2 3 2" xfId="3183"/>
    <cellStyle name="20 % - Accent4 2 3 3" xfId="3184"/>
    <cellStyle name="20 % - Accent4 2 4" xfId="3185"/>
    <cellStyle name="20 % - Accent4 2 5" xfId="3186"/>
    <cellStyle name="20 % - Accent4 20" xfId="3187"/>
    <cellStyle name="20 % - Accent4 20 2" xfId="3188"/>
    <cellStyle name="20 % - Accent4 20 2 2" xfId="3189"/>
    <cellStyle name="20 % - Accent4 20 2 3" xfId="3190"/>
    <cellStyle name="20 % - Accent4 20 3" xfId="3191"/>
    <cellStyle name="20 % - Accent4 20 3 2" xfId="3192"/>
    <cellStyle name="20 % - Accent4 20 3 3" xfId="3193"/>
    <cellStyle name="20 % - Accent4 20 4" xfId="3194"/>
    <cellStyle name="20 % - Accent4 20 5" xfId="3195"/>
    <cellStyle name="20 % - Accent4 21" xfId="3196"/>
    <cellStyle name="20 % - Accent4 21 2" xfId="3197"/>
    <cellStyle name="20 % - Accent4 21 2 2" xfId="3198"/>
    <cellStyle name="20 % - Accent4 21 2 3" xfId="3199"/>
    <cellStyle name="20 % - Accent4 21 3" xfId="3200"/>
    <cellStyle name="20 % - Accent4 21 3 2" xfId="3201"/>
    <cellStyle name="20 % - Accent4 21 3 3" xfId="3202"/>
    <cellStyle name="20 % - Accent4 21 4" xfId="3203"/>
    <cellStyle name="20 % - Accent4 21 5" xfId="3204"/>
    <cellStyle name="20 % - Accent4 22" xfId="3205"/>
    <cellStyle name="20 % - Accent4 22 2" xfId="3206"/>
    <cellStyle name="20 % - Accent4 22 2 2" xfId="3207"/>
    <cellStyle name="20 % - Accent4 22 2 3" xfId="3208"/>
    <cellStyle name="20 % - Accent4 22 3" xfId="3209"/>
    <cellStyle name="20 % - Accent4 22 3 2" xfId="3210"/>
    <cellStyle name="20 % - Accent4 22 3 3" xfId="3211"/>
    <cellStyle name="20 % - Accent4 22 4" xfId="3212"/>
    <cellStyle name="20 % - Accent4 22 5" xfId="3213"/>
    <cellStyle name="20 % - Accent4 23" xfId="3214"/>
    <cellStyle name="20 % - Accent4 23 2" xfId="3215"/>
    <cellStyle name="20 % - Accent4 23 2 2" xfId="3216"/>
    <cellStyle name="20 % - Accent4 23 2 3" xfId="3217"/>
    <cellStyle name="20 % - Accent4 23 3" xfId="3218"/>
    <cellStyle name="20 % - Accent4 23 3 2" xfId="3219"/>
    <cellStyle name="20 % - Accent4 23 3 3" xfId="3220"/>
    <cellStyle name="20 % - Accent4 23 4" xfId="3221"/>
    <cellStyle name="20 % - Accent4 23 5" xfId="3222"/>
    <cellStyle name="20 % - Accent4 24" xfId="3223"/>
    <cellStyle name="20 % - Accent4 24 2" xfId="3224"/>
    <cellStyle name="20 % - Accent4 24 2 2" xfId="3225"/>
    <cellStyle name="20 % - Accent4 24 2 3" xfId="3226"/>
    <cellStyle name="20 % - Accent4 24 3" xfId="3227"/>
    <cellStyle name="20 % - Accent4 24 3 2" xfId="3228"/>
    <cellStyle name="20 % - Accent4 24 3 3" xfId="3229"/>
    <cellStyle name="20 % - Accent4 24 4" xfId="3230"/>
    <cellStyle name="20 % - Accent4 24 5" xfId="3231"/>
    <cellStyle name="20 % - Accent4 25" xfId="3232"/>
    <cellStyle name="20 % - Accent4 25 2" xfId="3233"/>
    <cellStyle name="20 % - Accent4 25 2 2" xfId="3234"/>
    <cellStyle name="20 % - Accent4 25 2 3" xfId="3235"/>
    <cellStyle name="20 % - Accent4 25 3" xfId="3236"/>
    <cellStyle name="20 % - Accent4 25 3 2" xfId="3237"/>
    <cellStyle name="20 % - Accent4 25 3 3" xfId="3238"/>
    <cellStyle name="20 % - Accent4 25 4" xfId="3239"/>
    <cellStyle name="20 % - Accent4 25 5" xfId="3240"/>
    <cellStyle name="20 % - Accent4 26" xfId="3241"/>
    <cellStyle name="20 % - Accent4 26 2" xfId="3242"/>
    <cellStyle name="20 % - Accent4 26 2 2" xfId="3243"/>
    <cellStyle name="20 % - Accent4 26 2 3" xfId="3244"/>
    <cellStyle name="20 % - Accent4 26 3" xfId="3245"/>
    <cellStyle name="20 % - Accent4 26 3 2" xfId="3246"/>
    <cellStyle name="20 % - Accent4 26 3 3" xfId="3247"/>
    <cellStyle name="20 % - Accent4 26 4" xfId="3248"/>
    <cellStyle name="20 % - Accent4 26 5" xfId="3249"/>
    <cellStyle name="20 % - Accent4 27" xfId="3250"/>
    <cellStyle name="20 % - Accent4 27 2" xfId="3251"/>
    <cellStyle name="20 % - Accent4 27 2 2" xfId="3252"/>
    <cellStyle name="20 % - Accent4 27 2 3" xfId="3253"/>
    <cellStyle name="20 % - Accent4 27 3" xfId="3254"/>
    <cellStyle name="20 % - Accent4 27 3 2" xfId="3255"/>
    <cellStyle name="20 % - Accent4 27 3 3" xfId="3256"/>
    <cellStyle name="20 % - Accent4 27 4" xfId="3257"/>
    <cellStyle name="20 % - Accent4 27 5" xfId="3258"/>
    <cellStyle name="20 % - Accent4 28" xfId="3259"/>
    <cellStyle name="20 % - Accent4 28 2" xfId="3260"/>
    <cellStyle name="20 % - Accent4 28 2 2" xfId="3261"/>
    <cellStyle name="20 % - Accent4 28 2 3" xfId="3262"/>
    <cellStyle name="20 % - Accent4 28 3" xfId="3263"/>
    <cellStyle name="20 % - Accent4 28 3 2" xfId="3264"/>
    <cellStyle name="20 % - Accent4 28 3 3" xfId="3265"/>
    <cellStyle name="20 % - Accent4 28 4" xfId="3266"/>
    <cellStyle name="20 % - Accent4 28 5" xfId="3267"/>
    <cellStyle name="20 % - Accent4 29" xfId="3268"/>
    <cellStyle name="20 % - Accent4 29 2" xfId="3269"/>
    <cellStyle name="20 % - Accent4 29 2 2" xfId="3270"/>
    <cellStyle name="20 % - Accent4 29 2 3" xfId="3271"/>
    <cellStyle name="20 % - Accent4 29 3" xfId="3272"/>
    <cellStyle name="20 % - Accent4 29 3 2" xfId="3273"/>
    <cellStyle name="20 % - Accent4 29 3 3" xfId="3274"/>
    <cellStyle name="20 % - Accent4 29 4" xfId="3275"/>
    <cellStyle name="20 % - Accent4 29 5" xfId="3276"/>
    <cellStyle name="20 % - Accent4 3" xfId="317"/>
    <cellStyle name="20 % - Accent4 3 2" xfId="318"/>
    <cellStyle name="20 % - Accent4 3 2 2" xfId="319"/>
    <cellStyle name="20 % - Accent4 3 2 3" xfId="3277"/>
    <cellStyle name="20 % - Accent4 3 3" xfId="320"/>
    <cellStyle name="20 % - Accent4 3 3 2" xfId="3278"/>
    <cellStyle name="20 % - Accent4 3 3 3" xfId="3279"/>
    <cellStyle name="20 % - Accent4 3 4" xfId="3280"/>
    <cellStyle name="20 % - Accent4 3 5" xfId="3281"/>
    <cellStyle name="20 % - Accent4 30" xfId="3282"/>
    <cellStyle name="20 % - Accent4 30 2" xfId="3283"/>
    <cellStyle name="20 % - Accent4 30 2 2" xfId="3284"/>
    <cellStyle name="20 % - Accent4 30 2 3" xfId="3285"/>
    <cellStyle name="20 % - Accent4 30 3" xfId="3286"/>
    <cellStyle name="20 % - Accent4 30 3 2" xfId="3287"/>
    <cellStyle name="20 % - Accent4 30 3 3" xfId="3288"/>
    <cellStyle name="20 % - Accent4 30 4" xfId="3289"/>
    <cellStyle name="20 % - Accent4 30 5" xfId="3290"/>
    <cellStyle name="20 % - Accent4 31" xfId="3291"/>
    <cellStyle name="20 % - Accent4 31 2" xfId="3292"/>
    <cellStyle name="20 % - Accent4 31 2 2" xfId="3293"/>
    <cellStyle name="20 % - Accent4 31 2 3" xfId="3294"/>
    <cellStyle name="20 % - Accent4 31 3" xfId="3295"/>
    <cellStyle name="20 % - Accent4 31 3 2" xfId="3296"/>
    <cellStyle name="20 % - Accent4 31 3 3" xfId="3297"/>
    <cellStyle name="20 % - Accent4 31 4" xfId="3298"/>
    <cellStyle name="20 % - Accent4 31 5" xfId="3299"/>
    <cellStyle name="20 % - Accent4 32" xfId="3300"/>
    <cellStyle name="20 % - Accent4 32 2" xfId="3301"/>
    <cellStyle name="20 % - Accent4 32 2 2" xfId="3302"/>
    <cellStyle name="20 % - Accent4 32 2 3" xfId="3303"/>
    <cellStyle name="20 % - Accent4 32 3" xfId="3304"/>
    <cellStyle name="20 % - Accent4 32 3 2" xfId="3305"/>
    <cellStyle name="20 % - Accent4 32 3 3" xfId="3306"/>
    <cellStyle name="20 % - Accent4 32 4" xfId="3307"/>
    <cellStyle name="20 % - Accent4 32 5" xfId="3308"/>
    <cellStyle name="20 % - Accent4 33" xfId="3309"/>
    <cellStyle name="20 % - Accent4 33 2" xfId="3310"/>
    <cellStyle name="20 % - Accent4 33 2 2" xfId="3311"/>
    <cellStyle name="20 % - Accent4 33 2 3" xfId="3312"/>
    <cellStyle name="20 % - Accent4 33 3" xfId="3313"/>
    <cellStyle name="20 % - Accent4 33 3 2" xfId="3314"/>
    <cellStyle name="20 % - Accent4 33 3 3" xfId="3315"/>
    <cellStyle name="20 % - Accent4 33 4" xfId="3316"/>
    <cellStyle name="20 % - Accent4 33 5" xfId="3317"/>
    <cellStyle name="20 % - Accent4 34" xfId="3318"/>
    <cellStyle name="20 % - Accent4 34 2" xfId="3319"/>
    <cellStyle name="20 % - Accent4 34 2 2" xfId="3320"/>
    <cellStyle name="20 % - Accent4 34 2 3" xfId="3321"/>
    <cellStyle name="20 % - Accent4 34 3" xfId="3322"/>
    <cellStyle name="20 % - Accent4 34 3 2" xfId="3323"/>
    <cellStyle name="20 % - Accent4 34 3 3" xfId="3324"/>
    <cellStyle name="20 % - Accent4 34 4" xfId="3325"/>
    <cellStyle name="20 % - Accent4 34 5" xfId="3326"/>
    <cellStyle name="20 % - Accent4 35" xfId="3327"/>
    <cellStyle name="20 % - Accent4 35 2" xfId="3328"/>
    <cellStyle name="20 % - Accent4 35 2 2" xfId="3329"/>
    <cellStyle name="20 % - Accent4 35 2 3" xfId="3330"/>
    <cellStyle name="20 % - Accent4 35 3" xfId="3331"/>
    <cellStyle name="20 % - Accent4 35 3 2" xfId="3332"/>
    <cellStyle name="20 % - Accent4 35 3 3" xfId="3333"/>
    <cellStyle name="20 % - Accent4 35 4" xfId="3334"/>
    <cellStyle name="20 % - Accent4 35 5" xfId="3335"/>
    <cellStyle name="20 % - Accent4 36" xfId="3336"/>
    <cellStyle name="20 % - Accent4 36 2" xfId="3337"/>
    <cellStyle name="20 % - Accent4 36 2 2" xfId="3338"/>
    <cellStyle name="20 % - Accent4 36 2 3" xfId="3339"/>
    <cellStyle name="20 % - Accent4 36 3" xfId="3340"/>
    <cellStyle name="20 % - Accent4 36 3 2" xfId="3341"/>
    <cellStyle name="20 % - Accent4 36 3 3" xfId="3342"/>
    <cellStyle name="20 % - Accent4 36 4" xfId="3343"/>
    <cellStyle name="20 % - Accent4 36 5" xfId="3344"/>
    <cellStyle name="20 % - Accent4 37" xfId="3345"/>
    <cellStyle name="20 % - Accent4 37 2" xfId="3346"/>
    <cellStyle name="20 % - Accent4 37 2 2" xfId="3347"/>
    <cellStyle name="20 % - Accent4 37 2 3" xfId="3348"/>
    <cellStyle name="20 % - Accent4 37 3" xfId="3349"/>
    <cellStyle name="20 % - Accent4 37 3 2" xfId="3350"/>
    <cellStyle name="20 % - Accent4 37 3 3" xfId="3351"/>
    <cellStyle name="20 % - Accent4 37 4" xfId="3352"/>
    <cellStyle name="20 % - Accent4 37 5" xfId="3353"/>
    <cellStyle name="20 % - Accent4 38" xfId="3354"/>
    <cellStyle name="20 % - Accent4 38 2" xfId="3355"/>
    <cellStyle name="20 % - Accent4 38 2 2" xfId="3356"/>
    <cellStyle name="20 % - Accent4 38 2 3" xfId="3357"/>
    <cellStyle name="20 % - Accent4 38 3" xfId="3358"/>
    <cellStyle name="20 % - Accent4 38 3 2" xfId="3359"/>
    <cellStyle name="20 % - Accent4 38 3 3" xfId="3360"/>
    <cellStyle name="20 % - Accent4 38 4" xfId="3361"/>
    <cellStyle name="20 % - Accent4 38 5" xfId="3362"/>
    <cellStyle name="20 % - Accent4 39" xfId="3363"/>
    <cellStyle name="20 % - Accent4 39 2" xfId="3364"/>
    <cellStyle name="20 % - Accent4 39 2 2" xfId="3365"/>
    <cellStyle name="20 % - Accent4 39 2 3" xfId="3366"/>
    <cellStyle name="20 % - Accent4 39 3" xfId="3367"/>
    <cellStyle name="20 % - Accent4 39 3 2" xfId="3368"/>
    <cellStyle name="20 % - Accent4 39 3 3" xfId="3369"/>
    <cellStyle name="20 % - Accent4 39 4" xfId="3370"/>
    <cellStyle name="20 % - Accent4 39 5" xfId="3371"/>
    <cellStyle name="20 % - Accent4 4" xfId="321"/>
    <cellStyle name="20 % - Accent4 4 2" xfId="322"/>
    <cellStyle name="20 % - Accent4 4 2 2" xfId="323"/>
    <cellStyle name="20 % - Accent4 4 2 3" xfId="3372"/>
    <cellStyle name="20 % - Accent4 4 3" xfId="324"/>
    <cellStyle name="20 % - Accent4 4 3 2" xfId="3373"/>
    <cellStyle name="20 % - Accent4 4 3 3" xfId="3374"/>
    <cellStyle name="20 % - Accent4 4 4" xfId="3375"/>
    <cellStyle name="20 % - Accent4 4 5" xfId="3376"/>
    <cellStyle name="20 % - Accent4 40" xfId="3377"/>
    <cellStyle name="20 % - Accent4 40 2" xfId="3378"/>
    <cellStyle name="20 % - Accent4 40 2 2" xfId="3379"/>
    <cellStyle name="20 % - Accent4 40 2 3" xfId="3380"/>
    <cellStyle name="20 % - Accent4 40 3" xfId="3381"/>
    <cellStyle name="20 % - Accent4 40 3 2" xfId="3382"/>
    <cellStyle name="20 % - Accent4 40 3 3" xfId="3383"/>
    <cellStyle name="20 % - Accent4 40 4" xfId="3384"/>
    <cellStyle name="20 % - Accent4 40 5" xfId="3385"/>
    <cellStyle name="20 % - Accent4 41" xfId="3386"/>
    <cellStyle name="20 % - Accent4 41 2" xfId="3387"/>
    <cellStyle name="20 % - Accent4 41 2 2" xfId="3388"/>
    <cellStyle name="20 % - Accent4 41 2 3" xfId="3389"/>
    <cellStyle name="20 % - Accent4 41 3" xfId="3390"/>
    <cellStyle name="20 % - Accent4 41 3 2" xfId="3391"/>
    <cellStyle name="20 % - Accent4 41 3 3" xfId="3392"/>
    <cellStyle name="20 % - Accent4 41 4" xfId="3393"/>
    <cellStyle name="20 % - Accent4 41 5" xfId="3394"/>
    <cellStyle name="20 % - Accent4 42" xfId="3395"/>
    <cellStyle name="20 % - Accent4 42 2" xfId="3396"/>
    <cellStyle name="20 % - Accent4 42 2 2" xfId="3397"/>
    <cellStyle name="20 % - Accent4 42 2 3" xfId="3398"/>
    <cellStyle name="20 % - Accent4 42 3" xfId="3399"/>
    <cellStyle name="20 % - Accent4 42 3 2" xfId="3400"/>
    <cellStyle name="20 % - Accent4 42 3 3" xfId="3401"/>
    <cellStyle name="20 % - Accent4 42 4" xfId="3402"/>
    <cellStyle name="20 % - Accent4 42 5" xfId="3403"/>
    <cellStyle name="20 % - Accent4 43" xfId="3404"/>
    <cellStyle name="20 % - Accent4 43 2" xfId="3405"/>
    <cellStyle name="20 % - Accent4 43 2 2" xfId="3406"/>
    <cellStyle name="20 % - Accent4 43 2 3" xfId="3407"/>
    <cellStyle name="20 % - Accent4 43 3" xfId="3408"/>
    <cellStyle name="20 % - Accent4 43 3 2" xfId="3409"/>
    <cellStyle name="20 % - Accent4 43 3 3" xfId="3410"/>
    <cellStyle name="20 % - Accent4 43 4" xfId="3411"/>
    <cellStyle name="20 % - Accent4 43 5" xfId="3412"/>
    <cellStyle name="20 % - Accent4 44" xfId="3413"/>
    <cellStyle name="20 % - Accent4 44 2" xfId="3414"/>
    <cellStyle name="20 % - Accent4 44 2 2" xfId="3415"/>
    <cellStyle name="20 % - Accent4 44 2 3" xfId="3416"/>
    <cellStyle name="20 % - Accent4 44 3" xfId="3417"/>
    <cellStyle name="20 % - Accent4 44 3 2" xfId="3418"/>
    <cellStyle name="20 % - Accent4 44 3 3" xfId="3419"/>
    <cellStyle name="20 % - Accent4 44 4" xfId="3420"/>
    <cellStyle name="20 % - Accent4 44 5" xfId="3421"/>
    <cellStyle name="20 % - Accent4 45" xfId="3422"/>
    <cellStyle name="20 % - Accent4 45 2" xfId="3423"/>
    <cellStyle name="20 % - Accent4 45 2 2" xfId="3424"/>
    <cellStyle name="20 % - Accent4 45 2 3" xfId="3425"/>
    <cellStyle name="20 % - Accent4 45 3" xfId="3426"/>
    <cellStyle name="20 % - Accent4 45 3 2" xfId="3427"/>
    <cellStyle name="20 % - Accent4 45 3 3" xfId="3428"/>
    <cellStyle name="20 % - Accent4 45 4" xfId="3429"/>
    <cellStyle name="20 % - Accent4 45 5" xfId="3430"/>
    <cellStyle name="20 % - Accent4 46" xfId="3431"/>
    <cellStyle name="20 % - Accent4 46 2" xfId="3432"/>
    <cellStyle name="20 % - Accent4 46 2 2" xfId="3433"/>
    <cellStyle name="20 % - Accent4 46 2 3" xfId="3434"/>
    <cellStyle name="20 % - Accent4 46 3" xfId="3435"/>
    <cellStyle name="20 % - Accent4 46 3 2" xfId="3436"/>
    <cellStyle name="20 % - Accent4 46 3 3" xfId="3437"/>
    <cellStyle name="20 % - Accent4 46 4" xfId="3438"/>
    <cellStyle name="20 % - Accent4 46 5" xfId="3439"/>
    <cellStyle name="20 % - Accent4 47" xfId="3440"/>
    <cellStyle name="20 % - Accent4 47 2" xfId="3441"/>
    <cellStyle name="20 % - Accent4 47 2 2" xfId="3442"/>
    <cellStyle name="20 % - Accent4 47 2 3" xfId="3443"/>
    <cellStyle name="20 % - Accent4 47 3" xfId="3444"/>
    <cellStyle name="20 % - Accent4 47 3 2" xfId="3445"/>
    <cellStyle name="20 % - Accent4 47 3 3" xfId="3446"/>
    <cellStyle name="20 % - Accent4 47 4" xfId="3447"/>
    <cellStyle name="20 % - Accent4 47 5" xfId="3448"/>
    <cellStyle name="20 % - Accent4 48" xfId="3449"/>
    <cellStyle name="20 % - Accent4 48 2" xfId="3450"/>
    <cellStyle name="20 % - Accent4 48 2 2" xfId="3451"/>
    <cellStyle name="20 % - Accent4 48 2 3" xfId="3452"/>
    <cellStyle name="20 % - Accent4 48 3" xfId="3453"/>
    <cellStyle name="20 % - Accent4 48 3 2" xfId="3454"/>
    <cellStyle name="20 % - Accent4 48 3 3" xfId="3455"/>
    <cellStyle name="20 % - Accent4 48 4" xfId="3456"/>
    <cellStyle name="20 % - Accent4 48 5" xfId="3457"/>
    <cellStyle name="20 % - Accent4 49" xfId="3458"/>
    <cellStyle name="20 % - Accent4 49 2" xfId="3459"/>
    <cellStyle name="20 % - Accent4 49 2 2" xfId="3460"/>
    <cellStyle name="20 % - Accent4 49 2 3" xfId="3461"/>
    <cellStyle name="20 % - Accent4 49 3" xfId="3462"/>
    <cellStyle name="20 % - Accent4 49 3 2" xfId="3463"/>
    <cellStyle name="20 % - Accent4 49 3 3" xfId="3464"/>
    <cellStyle name="20 % - Accent4 49 4" xfId="3465"/>
    <cellStyle name="20 % - Accent4 49 5" xfId="3466"/>
    <cellStyle name="20 % - Accent4 5" xfId="325"/>
    <cellStyle name="20 % - Accent4 5 2" xfId="326"/>
    <cellStyle name="20 % - Accent4 5 2 2" xfId="327"/>
    <cellStyle name="20 % - Accent4 5 2 3" xfId="3467"/>
    <cellStyle name="20 % - Accent4 5 3" xfId="328"/>
    <cellStyle name="20 % - Accent4 5 3 2" xfId="3468"/>
    <cellStyle name="20 % - Accent4 5 3 3" xfId="3469"/>
    <cellStyle name="20 % - Accent4 5 4" xfId="3470"/>
    <cellStyle name="20 % - Accent4 5 5" xfId="3471"/>
    <cellStyle name="20 % - Accent4 50" xfId="3472"/>
    <cellStyle name="20 % - Accent4 50 2" xfId="3473"/>
    <cellStyle name="20 % - Accent4 50 2 2" xfId="3474"/>
    <cellStyle name="20 % - Accent4 50 2 3" xfId="3475"/>
    <cellStyle name="20 % - Accent4 50 3" xfId="3476"/>
    <cellStyle name="20 % - Accent4 50 3 2" xfId="3477"/>
    <cellStyle name="20 % - Accent4 50 3 3" xfId="3478"/>
    <cellStyle name="20 % - Accent4 50 4" xfId="3479"/>
    <cellStyle name="20 % - Accent4 50 5" xfId="3480"/>
    <cellStyle name="20 % - Accent4 51" xfId="3481"/>
    <cellStyle name="20 % - Accent4 51 2" xfId="3482"/>
    <cellStyle name="20 % - Accent4 51 2 2" xfId="3483"/>
    <cellStyle name="20 % - Accent4 51 2 3" xfId="3484"/>
    <cellStyle name="20 % - Accent4 51 3" xfId="3485"/>
    <cellStyle name="20 % - Accent4 51 3 2" xfId="3486"/>
    <cellStyle name="20 % - Accent4 51 3 3" xfId="3487"/>
    <cellStyle name="20 % - Accent4 51 4" xfId="3488"/>
    <cellStyle name="20 % - Accent4 51 5" xfId="3489"/>
    <cellStyle name="20 % - Accent4 52" xfId="3490"/>
    <cellStyle name="20 % - Accent4 52 2" xfId="3491"/>
    <cellStyle name="20 % - Accent4 52 2 2" xfId="3492"/>
    <cellStyle name="20 % - Accent4 52 2 3" xfId="3493"/>
    <cellStyle name="20 % - Accent4 52 3" xfId="3494"/>
    <cellStyle name="20 % - Accent4 52 3 2" xfId="3495"/>
    <cellStyle name="20 % - Accent4 52 3 3" xfId="3496"/>
    <cellStyle name="20 % - Accent4 52 4" xfId="3497"/>
    <cellStyle name="20 % - Accent4 52 5" xfId="3498"/>
    <cellStyle name="20 % - Accent4 53" xfId="3499"/>
    <cellStyle name="20 % - Accent4 53 2" xfId="3500"/>
    <cellStyle name="20 % - Accent4 53 2 2" xfId="3501"/>
    <cellStyle name="20 % - Accent4 53 2 3" xfId="3502"/>
    <cellStyle name="20 % - Accent4 53 3" xfId="3503"/>
    <cellStyle name="20 % - Accent4 53 3 2" xfId="3504"/>
    <cellStyle name="20 % - Accent4 53 3 3" xfId="3505"/>
    <cellStyle name="20 % - Accent4 53 4" xfId="3506"/>
    <cellStyle name="20 % - Accent4 53 5" xfId="3507"/>
    <cellStyle name="20 % - Accent4 54" xfId="3508"/>
    <cellStyle name="20 % - Accent4 54 2" xfId="3509"/>
    <cellStyle name="20 % - Accent4 54 2 2" xfId="3510"/>
    <cellStyle name="20 % - Accent4 54 2 3" xfId="3511"/>
    <cellStyle name="20 % - Accent4 54 3" xfId="3512"/>
    <cellStyle name="20 % - Accent4 54 3 2" xfId="3513"/>
    <cellStyle name="20 % - Accent4 54 3 3" xfId="3514"/>
    <cellStyle name="20 % - Accent4 54 4" xfId="3515"/>
    <cellStyle name="20 % - Accent4 54 5" xfId="3516"/>
    <cellStyle name="20 % - Accent4 55" xfId="3517"/>
    <cellStyle name="20 % - Accent4 55 2" xfId="3518"/>
    <cellStyle name="20 % - Accent4 55 2 2" xfId="3519"/>
    <cellStyle name="20 % - Accent4 55 2 3" xfId="3520"/>
    <cellStyle name="20 % - Accent4 55 3" xfId="3521"/>
    <cellStyle name="20 % - Accent4 55 3 2" xfId="3522"/>
    <cellStyle name="20 % - Accent4 55 3 3" xfId="3523"/>
    <cellStyle name="20 % - Accent4 55 4" xfId="3524"/>
    <cellStyle name="20 % - Accent4 55 5" xfId="3525"/>
    <cellStyle name="20 % - Accent4 56" xfId="3526"/>
    <cellStyle name="20 % - Accent4 56 2" xfId="3527"/>
    <cellStyle name="20 % - Accent4 56 2 2" xfId="3528"/>
    <cellStyle name="20 % - Accent4 56 2 3" xfId="3529"/>
    <cellStyle name="20 % - Accent4 56 3" xfId="3530"/>
    <cellStyle name="20 % - Accent4 56 3 2" xfId="3531"/>
    <cellStyle name="20 % - Accent4 56 3 3" xfId="3532"/>
    <cellStyle name="20 % - Accent4 56 4" xfId="3533"/>
    <cellStyle name="20 % - Accent4 56 5" xfId="3534"/>
    <cellStyle name="20 % - Accent4 57" xfId="3535"/>
    <cellStyle name="20 % - Accent4 57 2" xfId="3536"/>
    <cellStyle name="20 % - Accent4 57 2 2" xfId="3537"/>
    <cellStyle name="20 % - Accent4 57 2 3" xfId="3538"/>
    <cellStyle name="20 % - Accent4 57 3" xfId="3539"/>
    <cellStyle name="20 % - Accent4 57 3 2" xfId="3540"/>
    <cellStyle name="20 % - Accent4 57 3 3" xfId="3541"/>
    <cellStyle name="20 % - Accent4 57 4" xfId="3542"/>
    <cellStyle name="20 % - Accent4 57 5" xfId="3543"/>
    <cellStyle name="20 % - Accent4 58" xfId="3544"/>
    <cellStyle name="20 % - Accent4 58 2" xfId="3545"/>
    <cellStyle name="20 % - Accent4 58 2 2" xfId="3546"/>
    <cellStyle name="20 % - Accent4 58 2 3" xfId="3547"/>
    <cellStyle name="20 % - Accent4 58 3" xfId="3548"/>
    <cellStyle name="20 % - Accent4 58 3 2" xfId="3549"/>
    <cellStyle name="20 % - Accent4 58 3 3" xfId="3550"/>
    <cellStyle name="20 % - Accent4 58 4" xfId="3551"/>
    <cellStyle name="20 % - Accent4 58 5" xfId="3552"/>
    <cellStyle name="20 % - Accent4 59" xfId="3553"/>
    <cellStyle name="20 % - Accent4 59 2" xfId="3554"/>
    <cellStyle name="20 % - Accent4 59 2 2" xfId="3555"/>
    <cellStyle name="20 % - Accent4 59 2 3" xfId="3556"/>
    <cellStyle name="20 % - Accent4 59 3" xfId="3557"/>
    <cellStyle name="20 % - Accent4 59 3 2" xfId="3558"/>
    <cellStyle name="20 % - Accent4 59 3 3" xfId="3559"/>
    <cellStyle name="20 % - Accent4 59 4" xfId="3560"/>
    <cellStyle name="20 % - Accent4 59 5" xfId="3561"/>
    <cellStyle name="20 % - Accent4 6" xfId="329"/>
    <cellStyle name="20 % - Accent4 6 2" xfId="330"/>
    <cellStyle name="20 % - Accent4 6 2 2" xfId="331"/>
    <cellStyle name="20 % - Accent4 6 2 3" xfId="3562"/>
    <cellStyle name="20 % - Accent4 6 3" xfId="332"/>
    <cellStyle name="20 % - Accent4 6 3 2" xfId="3563"/>
    <cellStyle name="20 % - Accent4 6 3 3" xfId="3564"/>
    <cellStyle name="20 % - Accent4 6 4" xfId="3565"/>
    <cellStyle name="20 % - Accent4 6 5" xfId="3566"/>
    <cellStyle name="20 % - Accent4 60" xfId="3567"/>
    <cellStyle name="20 % - Accent4 60 2" xfId="3568"/>
    <cellStyle name="20 % - Accent4 60 2 2" xfId="3569"/>
    <cellStyle name="20 % - Accent4 60 2 3" xfId="3570"/>
    <cellStyle name="20 % - Accent4 60 3" xfId="3571"/>
    <cellStyle name="20 % - Accent4 60 3 2" xfId="3572"/>
    <cellStyle name="20 % - Accent4 60 3 3" xfId="3573"/>
    <cellStyle name="20 % - Accent4 60 4" xfId="3574"/>
    <cellStyle name="20 % - Accent4 60 5" xfId="3575"/>
    <cellStyle name="20 % - Accent4 61" xfId="3576"/>
    <cellStyle name="20 % - Accent4 61 2" xfId="3577"/>
    <cellStyle name="20 % - Accent4 61 2 2" xfId="3578"/>
    <cellStyle name="20 % - Accent4 61 2 3" xfId="3579"/>
    <cellStyle name="20 % - Accent4 61 3" xfId="3580"/>
    <cellStyle name="20 % - Accent4 61 3 2" xfId="3581"/>
    <cellStyle name="20 % - Accent4 61 3 3" xfId="3582"/>
    <cellStyle name="20 % - Accent4 61 4" xfId="3583"/>
    <cellStyle name="20 % - Accent4 61 5" xfId="3584"/>
    <cellStyle name="20 % - Accent4 62" xfId="3585"/>
    <cellStyle name="20 % - Accent4 62 2" xfId="3586"/>
    <cellStyle name="20 % - Accent4 62 2 2" xfId="3587"/>
    <cellStyle name="20 % - Accent4 62 2 3" xfId="3588"/>
    <cellStyle name="20 % - Accent4 62 3" xfId="3589"/>
    <cellStyle name="20 % - Accent4 62 3 2" xfId="3590"/>
    <cellStyle name="20 % - Accent4 62 3 3" xfId="3591"/>
    <cellStyle name="20 % - Accent4 62 4" xfId="3592"/>
    <cellStyle name="20 % - Accent4 62 5" xfId="3593"/>
    <cellStyle name="20 % - Accent4 63" xfId="3594"/>
    <cellStyle name="20 % - Accent4 63 2" xfId="3595"/>
    <cellStyle name="20 % - Accent4 63 2 2" xfId="3596"/>
    <cellStyle name="20 % - Accent4 63 2 3" xfId="3597"/>
    <cellStyle name="20 % - Accent4 63 3" xfId="3598"/>
    <cellStyle name="20 % - Accent4 63 3 2" xfId="3599"/>
    <cellStyle name="20 % - Accent4 63 3 3" xfId="3600"/>
    <cellStyle name="20 % - Accent4 63 4" xfId="3601"/>
    <cellStyle name="20 % - Accent4 63 5" xfId="3602"/>
    <cellStyle name="20 % - Accent4 64" xfId="3603"/>
    <cellStyle name="20 % - Accent4 64 2" xfId="3604"/>
    <cellStyle name="20 % - Accent4 64 2 2" xfId="3605"/>
    <cellStyle name="20 % - Accent4 64 2 3" xfId="3606"/>
    <cellStyle name="20 % - Accent4 64 3" xfId="3607"/>
    <cellStyle name="20 % - Accent4 64 3 2" xfId="3608"/>
    <cellStyle name="20 % - Accent4 64 3 3" xfId="3609"/>
    <cellStyle name="20 % - Accent4 64 4" xfId="3610"/>
    <cellStyle name="20 % - Accent4 64 5" xfId="3611"/>
    <cellStyle name="20 % - Accent4 65" xfId="3612"/>
    <cellStyle name="20 % - Accent4 65 2" xfId="3613"/>
    <cellStyle name="20 % - Accent4 65 2 2" xfId="3614"/>
    <cellStyle name="20 % - Accent4 65 2 3" xfId="3615"/>
    <cellStyle name="20 % - Accent4 65 3" xfId="3616"/>
    <cellStyle name="20 % - Accent4 65 3 2" xfId="3617"/>
    <cellStyle name="20 % - Accent4 65 3 3" xfId="3618"/>
    <cellStyle name="20 % - Accent4 65 4" xfId="3619"/>
    <cellStyle name="20 % - Accent4 65 5" xfId="3620"/>
    <cellStyle name="20 % - Accent4 66" xfId="3621"/>
    <cellStyle name="20 % - Accent4 66 2" xfId="3622"/>
    <cellStyle name="20 % - Accent4 66 2 2" xfId="3623"/>
    <cellStyle name="20 % - Accent4 66 2 3" xfId="3624"/>
    <cellStyle name="20 % - Accent4 66 3" xfId="3625"/>
    <cellStyle name="20 % - Accent4 66 3 2" xfId="3626"/>
    <cellStyle name="20 % - Accent4 66 3 3" xfId="3627"/>
    <cellStyle name="20 % - Accent4 66 4" xfId="3628"/>
    <cellStyle name="20 % - Accent4 66 5" xfId="3629"/>
    <cellStyle name="20 % - Accent4 67" xfId="3630"/>
    <cellStyle name="20 % - Accent4 67 2" xfId="3631"/>
    <cellStyle name="20 % - Accent4 67 2 2" xfId="3632"/>
    <cellStyle name="20 % - Accent4 67 2 3" xfId="3633"/>
    <cellStyle name="20 % - Accent4 67 3" xfId="3634"/>
    <cellStyle name="20 % - Accent4 67 3 2" xfId="3635"/>
    <cellStyle name="20 % - Accent4 67 3 3" xfId="3636"/>
    <cellStyle name="20 % - Accent4 67 4" xfId="3637"/>
    <cellStyle name="20 % - Accent4 67 5" xfId="3638"/>
    <cellStyle name="20 % - Accent4 68" xfId="3639"/>
    <cellStyle name="20 % - Accent4 68 2" xfId="3640"/>
    <cellStyle name="20 % - Accent4 68 2 2" xfId="3641"/>
    <cellStyle name="20 % - Accent4 68 2 3" xfId="3642"/>
    <cellStyle name="20 % - Accent4 68 3" xfId="3643"/>
    <cellStyle name="20 % - Accent4 68 3 2" xfId="3644"/>
    <cellStyle name="20 % - Accent4 68 3 3" xfId="3645"/>
    <cellStyle name="20 % - Accent4 68 4" xfId="3646"/>
    <cellStyle name="20 % - Accent4 68 5" xfId="3647"/>
    <cellStyle name="20 % - Accent4 69" xfId="3648"/>
    <cellStyle name="20 % - Accent4 69 2" xfId="3649"/>
    <cellStyle name="20 % - Accent4 69 2 2" xfId="3650"/>
    <cellStyle name="20 % - Accent4 69 2 3" xfId="3651"/>
    <cellStyle name="20 % - Accent4 69 3" xfId="3652"/>
    <cellStyle name="20 % - Accent4 69 3 2" xfId="3653"/>
    <cellStyle name="20 % - Accent4 69 3 3" xfId="3654"/>
    <cellStyle name="20 % - Accent4 69 4" xfId="3655"/>
    <cellStyle name="20 % - Accent4 69 5" xfId="3656"/>
    <cellStyle name="20 % - Accent4 7" xfId="333"/>
    <cellStyle name="20 % - Accent4 7 2" xfId="334"/>
    <cellStyle name="20 % - Accent4 7 2 2" xfId="335"/>
    <cellStyle name="20 % - Accent4 7 2 3" xfId="3657"/>
    <cellStyle name="20 % - Accent4 7 3" xfId="336"/>
    <cellStyle name="20 % - Accent4 7 3 2" xfId="3658"/>
    <cellStyle name="20 % - Accent4 7 3 3" xfId="3659"/>
    <cellStyle name="20 % - Accent4 7 4" xfId="3660"/>
    <cellStyle name="20 % - Accent4 7 5" xfId="3661"/>
    <cellStyle name="20 % - Accent4 70" xfId="3662"/>
    <cellStyle name="20 % - Accent4 70 2" xfId="3663"/>
    <cellStyle name="20 % - Accent4 70 2 2" xfId="3664"/>
    <cellStyle name="20 % - Accent4 70 2 3" xfId="3665"/>
    <cellStyle name="20 % - Accent4 70 3" xfId="3666"/>
    <cellStyle name="20 % - Accent4 70 3 2" xfId="3667"/>
    <cellStyle name="20 % - Accent4 70 3 3" xfId="3668"/>
    <cellStyle name="20 % - Accent4 70 4" xfId="3669"/>
    <cellStyle name="20 % - Accent4 70 5" xfId="3670"/>
    <cellStyle name="20 % - Accent4 71" xfId="3671"/>
    <cellStyle name="20 % - Accent4 71 2" xfId="3672"/>
    <cellStyle name="20 % - Accent4 71 2 2" xfId="3673"/>
    <cellStyle name="20 % - Accent4 71 2 3" xfId="3674"/>
    <cellStyle name="20 % - Accent4 71 3" xfId="3675"/>
    <cellStyle name="20 % - Accent4 71 3 2" xfId="3676"/>
    <cellStyle name="20 % - Accent4 71 3 3" xfId="3677"/>
    <cellStyle name="20 % - Accent4 71 4" xfId="3678"/>
    <cellStyle name="20 % - Accent4 71 5" xfId="3679"/>
    <cellStyle name="20 % - Accent4 72" xfId="3680"/>
    <cellStyle name="20 % - Accent4 72 2" xfId="3681"/>
    <cellStyle name="20 % - Accent4 72 2 2" xfId="3682"/>
    <cellStyle name="20 % - Accent4 72 2 3" xfId="3683"/>
    <cellStyle name="20 % - Accent4 72 3" xfId="3684"/>
    <cellStyle name="20 % - Accent4 72 3 2" xfId="3685"/>
    <cellStyle name="20 % - Accent4 72 3 3" xfId="3686"/>
    <cellStyle name="20 % - Accent4 72 4" xfId="3687"/>
    <cellStyle name="20 % - Accent4 72 5" xfId="3688"/>
    <cellStyle name="20 % - Accent4 73" xfId="3689"/>
    <cellStyle name="20 % - Accent4 73 2" xfId="3690"/>
    <cellStyle name="20 % - Accent4 73 2 2" xfId="3691"/>
    <cellStyle name="20 % - Accent4 73 2 3" xfId="3692"/>
    <cellStyle name="20 % - Accent4 73 3" xfId="3693"/>
    <cellStyle name="20 % - Accent4 73 3 2" xfId="3694"/>
    <cellStyle name="20 % - Accent4 73 3 3" xfId="3695"/>
    <cellStyle name="20 % - Accent4 73 4" xfId="3696"/>
    <cellStyle name="20 % - Accent4 73 5" xfId="3697"/>
    <cellStyle name="20 % - Accent4 74" xfId="3698"/>
    <cellStyle name="20 % - Accent4 74 2" xfId="3699"/>
    <cellStyle name="20 % - Accent4 74 3" xfId="3700"/>
    <cellStyle name="20 % - Accent4 75" xfId="3701"/>
    <cellStyle name="20 % - Accent4 75 2" xfId="3702"/>
    <cellStyle name="20 % - Accent4 75 3" xfId="3703"/>
    <cellStyle name="20 % - Accent4 76" xfId="3704"/>
    <cellStyle name="20 % - Accent4 76 2" xfId="3705"/>
    <cellStyle name="20 % - Accent4 76 3" xfId="3706"/>
    <cellStyle name="20 % - Accent4 77" xfId="3707"/>
    <cellStyle name="20 % - Accent4 77 2" xfId="3708"/>
    <cellStyle name="20 % - Accent4 77 3" xfId="3709"/>
    <cellStyle name="20 % - Accent4 78" xfId="3710"/>
    <cellStyle name="20 % - Accent4 79" xfId="3711"/>
    <cellStyle name="20 % - Accent4 8" xfId="337"/>
    <cellStyle name="20 % - Accent4 8 2" xfId="338"/>
    <cellStyle name="20 % - Accent4 8 2 2" xfId="339"/>
    <cellStyle name="20 % - Accent4 8 2 3" xfId="3712"/>
    <cellStyle name="20 % - Accent4 8 3" xfId="340"/>
    <cellStyle name="20 % - Accent4 8 3 2" xfId="3713"/>
    <cellStyle name="20 % - Accent4 8 3 3" xfId="3714"/>
    <cellStyle name="20 % - Accent4 8 4" xfId="3715"/>
    <cellStyle name="20 % - Accent4 8 5" xfId="3716"/>
    <cellStyle name="20 % - Accent4 80" xfId="3717"/>
    <cellStyle name="20 % - Accent4 81" xfId="3718"/>
    <cellStyle name="20 % - Accent4 82" xfId="3719"/>
    <cellStyle name="20 % - Accent4 83" xfId="3720"/>
    <cellStyle name="20 % - Accent4 84" xfId="3721"/>
    <cellStyle name="20 % - Accent4 85" xfId="3722"/>
    <cellStyle name="20 % - Accent4 86" xfId="3723"/>
    <cellStyle name="20 % - Accent4 87" xfId="3724"/>
    <cellStyle name="20 % - Accent4 88" xfId="3725"/>
    <cellStyle name="20 % - Accent4 89" xfId="3726"/>
    <cellStyle name="20 % - Accent4 9" xfId="341"/>
    <cellStyle name="20 % - Accent4 9 2" xfId="342"/>
    <cellStyle name="20 % - Accent4 9 2 2" xfId="343"/>
    <cellStyle name="20 % - Accent4 9 2 3" xfId="3727"/>
    <cellStyle name="20 % - Accent4 9 3" xfId="344"/>
    <cellStyle name="20 % - Accent4 9 3 2" xfId="3728"/>
    <cellStyle name="20 % - Accent4 9 3 3" xfId="3729"/>
    <cellStyle name="20 % - Accent4 9 4" xfId="3730"/>
    <cellStyle name="20 % - Accent4 9 5" xfId="3731"/>
    <cellStyle name="20 % - Accent4 90" xfId="3732"/>
    <cellStyle name="20 % - Accent4 91" xfId="3733"/>
    <cellStyle name="20 % - Accent4 92" xfId="3734"/>
    <cellStyle name="20 % - Accent4 93" xfId="3735"/>
    <cellStyle name="20 % - Accent4 94" xfId="3736"/>
    <cellStyle name="20 % - Accent4 95" xfId="3737"/>
    <cellStyle name="20 % - Accent4 96" xfId="3738"/>
    <cellStyle name="20 % - Accent4 97" xfId="3739"/>
    <cellStyle name="20 % - Accent4 98" xfId="3740"/>
    <cellStyle name="20 % - Accent4 99" xfId="3741"/>
    <cellStyle name="20 % - Accent5 10" xfId="345"/>
    <cellStyle name="20 % - Accent5 10 2" xfId="346"/>
    <cellStyle name="20 % - Accent5 10 2 2" xfId="347"/>
    <cellStyle name="20 % - Accent5 10 2 3" xfId="3742"/>
    <cellStyle name="20 % - Accent5 10 3" xfId="348"/>
    <cellStyle name="20 % - Accent5 10 3 2" xfId="3743"/>
    <cellStyle name="20 % - Accent5 10 3 3" xfId="3744"/>
    <cellStyle name="20 % - Accent5 10 4" xfId="3745"/>
    <cellStyle name="20 % - Accent5 10 5" xfId="3746"/>
    <cellStyle name="20 % - Accent5 100" xfId="3747"/>
    <cellStyle name="20 % - Accent5 101" xfId="3748"/>
    <cellStyle name="20 % - Accent5 102" xfId="3749"/>
    <cellStyle name="20 % - Accent5 103" xfId="3750"/>
    <cellStyle name="20 % - Accent5 104" xfId="3751"/>
    <cellStyle name="20 % - Accent5 105" xfId="3752"/>
    <cellStyle name="20 % - Accent5 106" xfId="3753"/>
    <cellStyle name="20 % - Accent5 107" xfId="3754"/>
    <cellStyle name="20 % - Accent5 108" xfId="3755"/>
    <cellStyle name="20 % - Accent5 109" xfId="3756"/>
    <cellStyle name="20 % - Accent5 11" xfId="349"/>
    <cellStyle name="20 % - Accent5 11 2" xfId="350"/>
    <cellStyle name="20 % - Accent5 11 2 2" xfId="351"/>
    <cellStyle name="20 % - Accent5 11 2 3" xfId="3757"/>
    <cellStyle name="20 % - Accent5 11 3" xfId="352"/>
    <cellStyle name="20 % - Accent5 11 3 2" xfId="3758"/>
    <cellStyle name="20 % - Accent5 11 3 3" xfId="3759"/>
    <cellStyle name="20 % - Accent5 11 4" xfId="3760"/>
    <cellStyle name="20 % - Accent5 11 5" xfId="3761"/>
    <cellStyle name="20 % - Accent5 110" xfId="3762"/>
    <cellStyle name="20 % - Accent5 111" xfId="3763"/>
    <cellStyle name="20 % - Accent5 112" xfId="3764"/>
    <cellStyle name="20 % - Accent5 113" xfId="3765"/>
    <cellStyle name="20 % - Accent5 114" xfId="3766"/>
    <cellStyle name="20 % - Accent5 115" xfId="3767"/>
    <cellStyle name="20 % - Accent5 116" xfId="3768"/>
    <cellStyle name="20 % - Accent5 117" xfId="3769"/>
    <cellStyle name="20 % - Accent5 118" xfId="3770"/>
    <cellStyle name="20 % - Accent5 119" xfId="3771"/>
    <cellStyle name="20 % - Accent5 12" xfId="353"/>
    <cellStyle name="20 % - Accent5 12 2" xfId="354"/>
    <cellStyle name="20 % - Accent5 12 2 2" xfId="355"/>
    <cellStyle name="20 % - Accent5 12 2 3" xfId="3772"/>
    <cellStyle name="20 % - Accent5 12 3" xfId="356"/>
    <cellStyle name="20 % - Accent5 12 3 2" xfId="3773"/>
    <cellStyle name="20 % - Accent5 12 3 3" xfId="3774"/>
    <cellStyle name="20 % - Accent5 12 4" xfId="3775"/>
    <cellStyle name="20 % - Accent5 12 5" xfId="3776"/>
    <cellStyle name="20 % - Accent5 120" xfId="3777"/>
    <cellStyle name="20 % - Accent5 121" xfId="3778"/>
    <cellStyle name="20 % - Accent5 122" xfId="3779"/>
    <cellStyle name="20 % - Accent5 123" xfId="3780"/>
    <cellStyle name="20 % - Accent5 124" xfId="3781"/>
    <cellStyle name="20 % - Accent5 125" xfId="3782"/>
    <cellStyle name="20 % - Accent5 126" xfId="3783"/>
    <cellStyle name="20 % - Accent5 127" xfId="3784"/>
    <cellStyle name="20 % - Accent5 128" xfId="3785"/>
    <cellStyle name="20 % - Accent5 129" xfId="3786"/>
    <cellStyle name="20 % - Accent5 13" xfId="357"/>
    <cellStyle name="20 % - Accent5 13 2" xfId="358"/>
    <cellStyle name="20 % - Accent5 13 2 2" xfId="359"/>
    <cellStyle name="20 % - Accent5 13 2 3" xfId="3787"/>
    <cellStyle name="20 % - Accent5 13 3" xfId="360"/>
    <cellStyle name="20 % - Accent5 13 3 2" xfId="3788"/>
    <cellStyle name="20 % - Accent5 13 3 3" xfId="3789"/>
    <cellStyle name="20 % - Accent5 13 4" xfId="3790"/>
    <cellStyle name="20 % - Accent5 13 5" xfId="3791"/>
    <cellStyle name="20 % - Accent5 130" xfId="3792"/>
    <cellStyle name="20 % - Accent5 131" xfId="3793"/>
    <cellStyle name="20 % - Accent5 132" xfId="3794"/>
    <cellStyle name="20 % - Accent5 133" xfId="3795"/>
    <cellStyle name="20 % - Accent5 134" xfId="3796"/>
    <cellStyle name="20 % - Accent5 135" xfId="3797"/>
    <cellStyle name="20 % - Accent5 136" xfId="3798"/>
    <cellStyle name="20 % - Accent5 137" xfId="3799"/>
    <cellStyle name="20 % - Accent5 138" xfId="3800"/>
    <cellStyle name="20 % - Accent5 139" xfId="3801"/>
    <cellStyle name="20 % - Accent5 14" xfId="361"/>
    <cellStyle name="20 % - Accent5 14 2" xfId="362"/>
    <cellStyle name="20 % - Accent5 14 2 2" xfId="363"/>
    <cellStyle name="20 % - Accent5 14 2 3" xfId="3802"/>
    <cellStyle name="20 % - Accent5 14 3" xfId="364"/>
    <cellStyle name="20 % - Accent5 14 3 2" xfId="3803"/>
    <cellStyle name="20 % - Accent5 14 3 3" xfId="3804"/>
    <cellStyle name="20 % - Accent5 14 4" xfId="3805"/>
    <cellStyle name="20 % - Accent5 14 5" xfId="3806"/>
    <cellStyle name="20 % - Accent5 140" xfId="3807"/>
    <cellStyle name="20 % - Accent5 15" xfId="365"/>
    <cellStyle name="20 % - Accent5 15 2" xfId="366"/>
    <cellStyle name="20 % - Accent5 15 2 2" xfId="367"/>
    <cellStyle name="20 % - Accent5 15 2 3" xfId="3808"/>
    <cellStyle name="20 % - Accent5 15 3" xfId="368"/>
    <cellStyle name="20 % - Accent5 15 3 2" xfId="3809"/>
    <cellStyle name="20 % - Accent5 15 3 3" xfId="3810"/>
    <cellStyle name="20 % - Accent5 15 4" xfId="3811"/>
    <cellStyle name="20 % - Accent5 15 5" xfId="3812"/>
    <cellStyle name="20 % - Accent5 16" xfId="369"/>
    <cellStyle name="20 % - Accent5 16 2" xfId="370"/>
    <cellStyle name="20 % - Accent5 16 2 2" xfId="371"/>
    <cellStyle name="20 % - Accent5 16 2 3" xfId="3813"/>
    <cellStyle name="20 % - Accent5 16 3" xfId="372"/>
    <cellStyle name="20 % - Accent5 16 3 2" xfId="3814"/>
    <cellStyle name="20 % - Accent5 16 3 3" xfId="3815"/>
    <cellStyle name="20 % - Accent5 16 4" xfId="3816"/>
    <cellStyle name="20 % - Accent5 16 5" xfId="3817"/>
    <cellStyle name="20 % - Accent5 17" xfId="373"/>
    <cellStyle name="20 % - Accent5 17 2" xfId="374"/>
    <cellStyle name="20 % - Accent5 17 2 2" xfId="375"/>
    <cellStyle name="20 % - Accent5 17 2 3" xfId="3818"/>
    <cellStyle name="20 % - Accent5 17 3" xfId="376"/>
    <cellStyle name="20 % - Accent5 17 3 2" xfId="3819"/>
    <cellStyle name="20 % - Accent5 17 3 3" xfId="3820"/>
    <cellStyle name="20 % - Accent5 17 4" xfId="3821"/>
    <cellStyle name="20 % - Accent5 17 5" xfId="3822"/>
    <cellStyle name="20 % - Accent5 18" xfId="377"/>
    <cellStyle name="20 % - Accent5 18 2" xfId="378"/>
    <cellStyle name="20 % - Accent5 18 2 2" xfId="379"/>
    <cellStyle name="20 % - Accent5 18 2 3" xfId="3823"/>
    <cellStyle name="20 % - Accent5 18 3" xfId="380"/>
    <cellStyle name="20 % - Accent5 18 3 2" xfId="3824"/>
    <cellStyle name="20 % - Accent5 18 3 3" xfId="3825"/>
    <cellStyle name="20 % - Accent5 18 4" xfId="3826"/>
    <cellStyle name="20 % - Accent5 18 5" xfId="3827"/>
    <cellStyle name="20 % - Accent5 19" xfId="3828"/>
    <cellStyle name="20 % - Accent5 19 2" xfId="3829"/>
    <cellStyle name="20 % - Accent5 19 2 2" xfId="3830"/>
    <cellStyle name="20 % - Accent5 19 2 3" xfId="3831"/>
    <cellStyle name="20 % - Accent5 19 3" xfId="3832"/>
    <cellStyle name="20 % - Accent5 19 3 2" xfId="3833"/>
    <cellStyle name="20 % - Accent5 19 3 3" xfId="3834"/>
    <cellStyle name="20 % - Accent5 19 4" xfId="3835"/>
    <cellStyle name="20 % - Accent5 19 5" xfId="3836"/>
    <cellStyle name="20 % - Accent5 2" xfId="381"/>
    <cellStyle name="20 % - Accent5 2 2" xfId="382"/>
    <cellStyle name="20 % - Accent5 2 2 2" xfId="383"/>
    <cellStyle name="20 % - Accent5 2 2 3" xfId="3837"/>
    <cellStyle name="20 % - Accent5 2 3" xfId="384"/>
    <cellStyle name="20 % - Accent5 2 3 2" xfId="3838"/>
    <cellStyle name="20 % - Accent5 2 3 3" xfId="3839"/>
    <cellStyle name="20 % - Accent5 2 4" xfId="3840"/>
    <cellStyle name="20 % - Accent5 2 5" xfId="3841"/>
    <cellStyle name="20 % - Accent5 20" xfId="3842"/>
    <cellStyle name="20 % - Accent5 20 2" xfId="3843"/>
    <cellStyle name="20 % - Accent5 20 2 2" xfId="3844"/>
    <cellStyle name="20 % - Accent5 20 2 3" xfId="3845"/>
    <cellStyle name="20 % - Accent5 20 3" xfId="3846"/>
    <cellStyle name="20 % - Accent5 20 3 2" xfId="3847"/>
    <cellStyle name="20 % - Accent5 20 3 3" xfId="3848"/>
    <cellStyle name="20 % - Accent5 20 4" xfId="3849"/>
    <cellStyle name="20 % - Accent5 20 5" xfId="3850"/>
    <cellStyle name="20 % - Accent5 21" xfId="3851"/>
    <cellStyle name="20 % - Accent5 21 2" xfId="3852"/>
    <cellStyle name="20 % - Accent5 21 2 2" xfId="3853"/>
    <cellStyle name="20 % - Accent5 21 2 3" xfId="3854"/>
    <cellStyle name="20 % - Accent5 21 3" xfId="3855"/>
    <cellStyle name="20 % - Accent5 21 3 2" xfId="3856"/>
    <cellStyle name="20 % - Accent5 21 3 3" xfId="3857"/>
    <cellStyle name="20 % - Accent5 21 4" xfId="3858"/>
    <cellStyle name="20 % - Accent5 21 5" xfId="3859"/>
    <cellStyle name="20 % - Accent5 22" xfId="3860"/>
    <cellStyle name="20 % - Accent5 22 2" xfId="3861"/>
    <cellStyle name="20 % - Accent5 22 2 2" xfId="3862"/>
    <cellStyle name="20 % - Accent5 22 2 3" xfId="3863"/>
    <cellStyle name="20 % - Accent5 22 3" xfId="3864"/>
    <cellStyle name="20 % - Accent5 22 3 2" xfId="3865"/>
    <cellStyle name="20 % - Accent5 22 3 3" xfId="3866"/>
    <cellStyle name="20 % - Accent5 22 4" xfId="3867"/>
    <cellStyle name="20 % - Accent5 22 5" xfId="3868"/>
    <cellStyle name="20 % - Accent5 23" xfId="3869"/>
    <cellStyle name="20 % - Accent5 23 2" xfId="3870"/>
    <cellStyle name="20 % - Accent5 23 2 2" xfId="3871"/>
    <cellStyle name="20 % - Accent5 23 2 3" xfId="3872"/>
    <cellStyle name="20 % - Accent5 23 3" xfId="3873"/>
    <cellStyle name="20 % - Accent5 23 3 2" xfId="3874"/>
    <cellStyle name="20 % - Accent5 23 3 3" xfId="3875"/>
    <cellStyle name="20 % - Accent5 23 4" xfId="3876"/>
    <cellStyle name="20 % - Accent5 23 5" xfId="3877"/>
    <cellStyle name="20 % - Accent5 24" xfId="3878"/>
    <cellStyle name="20 % - Accent5 24 2" xfId="3879"/>
    <cellStyle name="20 % - Accent5 24 2 2" xfId="3880"/>
    <cellStyle name="20 % - Accent5 24 2 3" xfId="3881"/>
    <cellStyle name="20 % - Accent5 24 3" xfId="3882"/>
    <cellStyle name="20 % - Accent5 24 3 2" xfId="3883"/>
    <cellStyle name="20 % - Accent5 24 3 3" xfId="3884"/>
    <cellStyle name="20 % - Accent5 24 4" xfId="3885"/>
    <cellStyle name="20 % - Accent5 24 5" xfId="3886"/>
    <cellStyle name="20 % - Accent5 25" xfId="3887"/>
    <cellStyle name="20 % - Accent5 25 2" xfId="3888"/>
    <cellStyle name="20 % - Accent5 25 2 2" xfId="3889"/>
    <cellStyle name="20 % - Accent5 25 2 3" xfId="3890"/>
    <cellStyle name="20 % - Accent5 25 3" xfId="3891"/>
    <cellStyle name="20 % - Accent5 25 3 2" xfId="3892"/>
    <cellStyle name="20 % - Accent5 25 3 3" xfId="3893"/>
    <cellStyle name="20 % - Accent5 25 4" xfId="3894"/>
    <cellStyle name="20 % - Accent5 25 5" xfId="3895"/>
    <cellStyle name="20 % - Accent5 26" xfId="3896"/>
    <cellStyle name="20 % - Accent5 26 2" xfId="3897"/>
    <cellStyle name="20 % - Accent5 26 2 2" xfId="3898"/>
    <cellStyle name="20 % - Accent5 26 2 3" xfId="3899"/>
    <cellStyle name="20 % - Accent5 26 3" xfId="3900"/>
    <cellStyle name="20 % - Accent5 26 3 2" xfId="3901"/>
    <cellStyle name="20 % - Accent5 26 3 3" xfId="3902"/>
    <cellStyle name="20 % - Accent5 26 4" xfId="3903"/>
    <cellStyle name="20 % - Accent5 26 5" xfId="3904"/>
    <cellStyle name="20 % - Accent5 27" xfId="3905"/>
    <cellStyle name="20 % - Accent5 27 2" xfId="3906"/>
    <cellStyle name="20 % - Accent5 27 2 2" xfId="3907"/>
    <cellStyle name="20 % - Accent5 27 2 3" xfId="3908"/>
    <cellStyle name="20 % - Accent5 27 3" xfId="3909"/>
    <cellStyle name="20 % - Accent5 27 3 2" xfId="3910"/>
    <cellStyle name="20 % - Accent5 27 3 3" xfId="3911"/>
    <cellStyle name="20 % - Accent5 27 4" xfId="3912"/>
    <cellStyle name="20 % - Accent5 27 5" xfId="3913"/>
    <cellStyle name="20 % - Accent5 28" xfId="3914"/>
    <cellStyle name="20 % - Accent5 28 2" xfId="3915"/>
    <cellStyle name="20 % - Accent5 28 2 2" xfId="3916"/>
    <cellStyle name="20 % - Accent5 28 2 3" xfId="3917"/>
    <cellStyle name="20 % - Accent5 28 3" xfId="3918"/>
    <cellStyle name="20 % - Accent5 28 3 2" xfId="3919"/>
    <cellStyle name="20 % - Accent5 28 3 3" xfId="3920"/>
    <cellStyle name="20 % - Accent5 28 4" xfId="3921"/>
    <cellStyle name="20 % - Accent5 28 5" xfId="3922"/>
    <cellStyle name="20 % - Accent5 29" xfId="3923"/>
    <cellStyle name="20 % - Accent5 29 2" xfId="3924"/>
    <cellStyle name="20 % - Accent5 29 2 2" xfId="3925"/>
    <cellStyle name="20 % - Accent5 29 2 3" xfId="3926"/>
    <cellStyle name="20 % - Accent5 29 3" xfId="3927"/>
    <cellStyle name="20 % - Accent5 29 3 2" xfId="3928"/>
    <cellStyle name="20 % - Accent5 29 3 3" xfId="3929"/>
    <cellStyle name="20 % - Accent5 29 4" xfId="3930"/>
    <cellStyle name="20 % - Accent5 29 5" xfId="3931"/>
    <cellStyle name="20 % - Accent5 3" xfId="385"/>
    <cellStyle name="20 % - Accent5 3 2" xfId="386"/>
    <cellStyle name="20 % - Accent5 3 2 2" xfId="387"/>
    <cellStyle name="20 % - Accent5 3 2 3" xfId="3932"/>
    <cellStyle name="20 % - Accent5 3 3" xfId="388"/>
    <cellStyle name="20 % - Accent5 3 3 2" xfId="3933"/>
    <cellStyle name="20 % - Accent5 3 3 3" xfId="3934"/>
    <cellStyle name="20 % - Accent5 3 4" xfId="3935"/>
    <cellStyle name="20 % - Accent5 3 5" xfId="3936"/>
    <cellStyle name="20 % - Accent5 30" xfId="3937"/>
    <cellStyle name="20 % - Accent5 30 2" xfId="3938"/>
    <cellStyle name="20 % - Accent5 30 2 2" xfId="3939"/>
    <cellStyle name="20 % - Accent5 30 2 3" xfId="3940"/>
    <cellStyle name="20 % - Accent5 30 3" xfId="3941"/>
    <cellStyle name="20 % - Accent5 30 3 2" xfId="3942"/>
    <cellStyle name="20 % - Accent5 30 3 3" xfId="3943"/>
    <cellStyle name="20 % - Accent5 30 4" xfId="3944"/>
    <cellStyle name="20 % - Accent5 30 5" xfId="3945"/>
    <cellStyle name="20 % - Accent5 31" xfId="3946"/>
    <cellStyle name="20 % - Accent5 31 2" xfId="3947"/>
    <cellStyle name="20 % - Accent5 31 2 2" xfId="3948"/>
    <cellStyle name="20 % - Accent5 31 2 3" xfId="3949"/>
    <cellStyle name="20 % - Accent5 31 3" xfId="3950"/>
    <cellStyle name="20 % - Accent5 31 3 2" xfId="3951"/>
    <cellStyle name="20 % - Accent5 31 3 3" xfId="3952"/>
    <cellStyle name="20 % - Accent5 31 4" xfId="3953"/>
    <cellStyle name="20 % - Accent5 31 5" xfId="3954"/>
    <cellStyle name="20 % - Accent5 32" xfId="3955"/>
    <cellStyle name="20 % - Accent5 32 2" xfId="3956"/>
    <cellStyle name="20 % - Accent5 32 2 2" xfId="3957"/>
    <cellStyle name="20 % - Accent5 32 2 3" xfId="3958"/>
    <cellStyle name="20 % - Accent5 32 3" xfId="3959"/>
    <cellStyle name="20 % - Accent5 32 3 2" xfId="3960"/>
    <cellStyle name="20 % - Accent5 32 3 3" xfId="3961"/>
    <cellStyle name="20 % - Accent5 32 4" xfId="3962"/>
    <cellStyle name="20 % - Accent5 32 5" xfId="3963"/>
    <cellStyle name="20 % - Accent5 33" xfId="3964"/>
    <cellStyle name="20 % - Accent5 33 2" xfId="3965"/>
    <cellStyle name="20 % - Accent5 33 2 2" xfId="3966"/>
    <cellStyle name="20 % - Accent5 33 2 3" xfId="3967"/>
    <cellStyle name="20 % - Accent5 33 3" xfId="3968"/>
    <cellStyle name="20 % - Accent5 33 3 2" xfId="3969"/>
    <cellStyle name="20 % - Accent5 33 3 3" xfId="3970"/>
    <cellStyle name="20 % - Accent5 33 4" xfId="3971"/>
    <cellStyle name="20 % - Accent5 33 5" xfId="3972"/>
    <cellStyle name="20 % - Accent5 34" xfId="3973"/>
    <cellStyle name="20 % - Accent5 34 2" xfId="3974"/>
    <cellStyle name="20 % - Accent5 34 2 2" xfId="3975"/>
    <cellStyle name="20 % - Accent5 34 2 3" xfId="3976"/>
    <cellStyle name="20 % - Accent5 34 3" xfId="3977"/>
    <cellStyle name="20 % - Accent5 34 3 2" xfId="3978"/>
    <cellStyle name="20 % - Accent5 34 3 3" xfId="3979"/>
    <cellStyle name="20 % - Accent5 34 4" xfId="3980"/>
    <cellStyle name="20 % - Accent5 34 5" xfId="3981"/>
    <cellStyle name="20 % - Accent5 35" xfId="3982"/>
    <cellStyle name="20 % - Accent5 35 2" xfId="3983"/>
    <cellStyle name="20 % - Accent5 35 2 2" xfId="3984"/>
    <cellStyle name="20 % - Accent5 35 2 3" xfId="3985"/>
    <cellStyle name="20 % - Accent5 35 3" xfId="3986"/>
    <cellStyle name="20 % - Accent5 35 3 2" xfId="3987"/>
    <cellStyle name="20 % - Accent5 35 3 3" xfId="3988"/>
    <cellStyle name="20 % - Accent5 35 4" xfId="3989"/>
    <cellStyle name="20 % - Accent5 35 5" xfId="3990"/>
    <cellStyle name="20 % - Accent5 36" xfId="3991"/>
    <cellStyle name="20 % - Accent5 36 2" xfId="3992"/>
    <cellStyle name="20 % - Accent5 36 2 2" xfId="3993"/>
    <cellStyle name="20 % - Accent5 36 2 3" xfId="3994"/>
    <cellStyle name="20 % - Accent5 36 3" xfId="3995"/>
    <cellStyle name="20 % - Accent5 36 3 2" xfId="3996"/>
    <cellStyle name="20 % - Accent5 36 3 3" xfId="3997"/>
    <cellStyle name="20 % - Accent5 36 4" xfId="3998"/>
    <cellStyle name="20 % - Accent5 36 5" xfId="3999"/>
    <cellStyle name="20 % - Accent5 37" xfId="4000"/>
    <cellStyle name="20 % - Accent5 37 2" xfId="4001"/>
    <cellStyle name="20 % - Accent5 37 2 2" xfId="4002"/>
    <cellStyle name="20 % - Accent5 37 2 3" xfId="4003"/>
    <cellStyle name="20 % - Accent5 37 3" xfId="4004"/>
    <cellStyle name="20 % - Accent5 37 3 2" xfId="4005"/>
    <cellStyle name="20 % - Accent5 37 3 3" xfId="4006"/>
    <cellStyle name="20 % - Accent5 37 4" xfId="4007"/>
    <cellStyle name="20 % - Accent5 37 5" xfId="4008"/>
    <cellStyle name="20 % - Accent5 38" xfId="4009"/>
    <cellStyle name="20 % - Accent5 38 2" xfId="4010"/>
    <cellStyle name="20 % - Accent5 38 2 2" xfId="4011"/>
    <cellStyle name="20 % - Accent5 38 2 3" xfId="4012"/>
    <cellStyle name="20 % - Accent5 38 3" xfId="4013"/>
    <cellStyle name="20 % - Accent5 38 3 2" xfId="4014"/>
    <cellStyle name="20 % - Accent5 38 3 3" xfId="4015"/>
    <cellStyle name="20 % - Accent5 38 4" xfId="4016"/>
    <cellStyle name="20 % - Accent5 38 5" xfId="4017"/>
    <cellStyle name="20 % - Accent5 39" xfId="4018"/>
    <cellStyle name="20 % - Accent5 39 2" xfId="4019"/>
    <cellStyle name="20 % - Accent5 39 2 2" xfId="4020"/>
    <cellStyle name="20 % - Accent5 39 2 3" xfId="4021"/>
    <cellStyle name="20 % - Accent5 39 3" xfId="4022"/>
    <cellStyle name="20 % - Accent5 39 3 2" xfId="4023"/>
    <cellStyle name="20 % - Accent5 39 3 3" xfId="4024"/>
    <cellStyle name="20 % - Accent5 39 4" xfId="4025"/>
    <cellStyle name="20 % - Accent5 39 5" xfId="4026"/>
    <cellStyle name="20 % - Accent5 4" xfId="389"/>
    <cellStyle name="20 % - Accent5 4 2" xfId="390"/>
    <cellStyle name="20 % - Accent5 4 2 2" xfId="391"/>
    <cellStyle name="20 % - Accent5 4 2 3" xfId="4027"/>
    <cellStyle name="20 % - Accent5 4 3" xfId="392"/>
    <cellStyle name="20 % - Accent5 4 3 2" xfId="4028"/>
    <cellStyle name="20 % - Accent5 4 3 3" xfId="4029"/>
    <cellStyle name="20 % - Accent5 4 4" xfId="4030"/>
    <cellStyle name="20 % - Accent5 4 5" xfId="4031"/>
    <cellStyle name="20 % - Accent5 40" xfId="4032"/>
    <cellStyle name="20 % - Accent5 40 2" xfId="4033"/>
    <cellStyle name="20 % - Accent5 40 2 2" xfId="4034"/>
    <cellStyle name="20 % - Accent5 40 2 3" xfId="4035"/>
    <cellStyle name="20 % - Accent5 40 3" xfId="4036"/>
    <cellStyle name="20 % - Accent5 40 3 2" xfId="4037"/>
    <cellStyle name="20 % - Accent5 40 3 3" xfId="4038"/>
    <cellStyle name="20 % - Accent5 40 4" xfId="4039"/>
    <cellStyle name="20 % - Accent5 40 5" xfId="4040"/>
    <cellStyle name="20 % - Accent5 41" xfId="4041"/>
    <cellStyle name="20 % - Accent5 41 2" xfId="4042"/>
    <cellStyle name="20 % - Accent5 41 2 2" xfId="4043"/>
    <cellStyle name="20 % - Accent5 41 2 3" xfId="4044"/>
    <cellStyle name="20 % - Accent5 41 3" xfId="4045"/>
    <cellStyle name="20 % - Accent5 41 3 2" xfId="4046"/>
    <cellStyle name="20 % - Accent5 41 3 3" xfId="4047"/>
    <cellStyle name="20 % - Accent5 41 4" xfId="4048"/>
    <cellStyle name="20 % - Accent5 41 5" xfId="4049"/>
    <cellStyle name="20 % - Accent5 42" xfId="4050"/>
    <cellStyle name="20 % - Accent5 42 2" xfId="4051"/>
    <cellStyle name="20 % - Accent5 42 2 2" xfId="4052"/>
    <cellStyle name="20 % - Accent5 42 2 3" xfId="4053"/>
    <cellStyle name="20 % - Accent5 42 3" xfId="4054"/>
    <cellStyle name="20 % - Accent5 42 3 2" xfId="4055"/>
    <cellStyle name="20 % - Accent5 42 3 3" xfId="4056"/>
    <cellStyle name="20 % - Accent5 42 4" xfId="4057"/>
    <cellStyle name="20 % - Accent5 42 5" xfId="4058"/>
    <cellStyle name="20 % - Accent5 43" xfId="4059"/>
    <cellStyle name="20 % - Accent5 43 2" xfId="4060"/>
    <cellStyle name="20 % - Accent5 43 2 2" xfId="4061"/>
    <cellStyle name="20 % - Accent5 43 2 3" xfId="4062"/>
    <cellStyle name="20 % - Accent5 43 3" xfId="4063"/>
    <cellStyle name="20 % - Accent5 43 3 2" xfId="4064"/>
    <cellStyle name="20 % - Accent5 43 3 3" xfId="4065"/>
    <cellStyle name="20 % - Accent5 43 4" xfId="4066"/>
    <cellStyle name="20 % - Accent5 43 5" xfId="4067"/>
    <cellStyle name="20 % - Accent5 44" xfId="4068"/>
    <cellStyle name="20 % - Accent5 44 2" xfId="4069"/>
    <cellStyle name="20 % - Accent5 44 2 2" xfId="4070"/>
    <cellStyle name="20 % - Accent5 44 2 3" xfId="4071"/>
    <cellStyle name="20 % - Accent5 44 3" xfId="4072"/>
    <cellStyle name="20 % - Accent5 44 3 2" xfId="4073"/>
    <cellStyle name="20 % - Accent5 44 3 3" xfId="4074"/>
    <cellStyle name="20 % - Accent5 44 4" xfId="4075"/>
    <cellStyle name="20 % - Accent5 44 5" xfId="4076"/>
    <cellStyle name="20 % - Accent5 45" xfId="4077"/>
    <cellStyle name="20 % - Accent5 45 2" xfId="4078"/>
    <cellStyle name="20 % - Accent5 45 2 2" xfId="4079"/>
    <cellStyle name="20 % - Accent5 45 2 3" xfId="4080"/>
    <cellStyle name="20 % - Accent5 45 3" xfId="4081"/>
    <cellStyle name="20 % - Accent5 45 3 2" xfId="4082"/>
    <cellStyle name="20 % - Accent5 45 3 3" xfId="4083"/>
    <cellStyle name="20 % - Accent5 45 4" xfId="4084"/>
    <cellStyle name="20 % - Accent5 45 5" xfId="4085"/>
    <cellStyle name="20 % - Accent5 46" xfId="4086"/>
    <cellStyle name="20 % - Accent5 46 2" xfId="4087"/>
    <cellStyle name="20 % - Accent5 46 2 2" xfId="4088"/>
    <cellStyle name="20 % - Accent5 46 2 3" xfId="4089"/>
    <cellStyle name="20 % - Accent5 46 3" xfId="4090"/>
    <cellStyle name="20 % - Accent5 46 3 2" xfId="4091"/>
    <cellStyle name="20 % - Accent5 46 3 3" xfId="4092"/>
    <cellStyle name="20 % - Accent5 46 4" xfId="4093"/>
    <cellStyle name="20 % - Accent5 46 5" xfId="4094"/>
    <cellStyle name="20 % - Accent5 47" xfId="4095"/>
    <cellStyle name="20 % - Accent5 47 2" xfId="4096"/>
    <cellStyle name="20 % - Accent5 47 2 2" xfId="4097"/>
    <cellStyle name="20 % - Accent5 47 2 3" xfId="4098"/>
    <cellStyle name="20 % - Accent5 47 3" xfId="4099"/>
    <cellStyle name="20 % - Accent5 47 3 2" xfId="4100"/>
    <cellStyle name="20 % - Accent5 47 3 3" xfId="4101"/>
    <cellStyle name="20 % - Accent5 47 4" xfId="4102"/>
    <cellStyle name="20 % - Accent5 47 5" xfId="4103"/>
    <cellStyle name="20 % - Accent5 48" xfId="4104"/>
    <cellStyle name="20 % - Accent5 48 2" xfId="4105"/>
    <cellStyle name="20 % - Accent5 48 2 2" xfId="4106"/>
    <cellStyle name="20 % - Accent5 48 2 3" xfId="4107"/>
    <cellStyle name="20 % - Accent5 48 3" xfId="4108"/>
    <cellStyle name="20 % - Accent5 48 3 2" xfId="4109"/>
    <cellStyle name="20 % - Accent5 48 3 3" xfId="4110"/>
    <cellStyle name="20 % - Accent5 48 4" xfId="4111"/>
    <cellStyle name="20 % - Accent5 48 5" xfId="4112"/>
    <cellStyle name="20 % - Accent5 49" xfId="4113"/>
    <cellStyle name="20 % - Accent5 49 2" xfId="4114"/>
    <cellStyle name="20 % - Accent5 49 2 2" xfId="4115"/>
    <cellStyle name="20 % - Accent5 49 2 3" xfId="4116"/>
    <cellStyle name="20 % - Accent5 49 3" xfId="4117"/>
    <cellStyle name="20 % - Accent5 49 3 2" xfId="4118"/>
    <cellStyle name="20 % - Accent5 49 3 3" xfId="4119"/>
    <cellStyle name="20 % - Accent5 49 4" xfId="4120"/>
    <cellStyle name="20 % - Accent5 49 5" xfId="4121"/>
    <cellStyle name="20 % - Accent5 5" xfId="393"/>
    <cellStyle name="20 % - Accent5 5 2" xfId="394"/>
    <cellStyle name="20 % - Accent5 5 2 2" xfId="395"/>
    <cellStyle name="20 % - Accent5 5 2 3" xfId="4122"/>
    <cellStyle name="20 % - Accent5 5 3" xfId="396"/>
    <cellStyle name="20 % - Accent5 5 3 2" xfId="4123"/>
    <cellStyle name="20 % - Accent5 5 3 3" xfId="4124"/>
    <cellStyle name="20 % - Accent5 5 4" xfId="4125"/>
    <cellStyle name="20 % - Accent5 5 5" xfId="4126"/>
    <cellStyle name="20 % - Accent5 50" xfId="4127"/>
    <cellStyle name="20 % - Accent5 50 2" xfId="4128"/>
    <cellStyle name="20 % - Accent5 50 2 2" xfId="4129"/>
    <cellStyle name="20 % - Accent5 50 2 3" xfId="4130"/>
    <cellStyle name="20 % - Accent5 50 3" xfId="4131"/>
    <cellStyle name="20 % - Accent5 50 3 2" xfId="4132"/>
    <cellStyle name="20 % - Accent5 50 3 3" xfId="4133"/>
    <cellStyle name="20 % - Accent5 50 4" xfId="4134"/>
    <cellStyle name="20 % - Accent5 50 5" xfId="4135"/>
    <cellStyle name="20 % - Accent5 51" xfId="4136"/>
    <cellStyle name="20 % - Accent5 51 2" xfId="4137"/>
    <cellStyle name="20 % - Accent5 51 2 2" xfId="4138"/>
    <cellStyle name="20 % - Accent5 51 2 3" xfId="4139"/>
    <cellStyle name="20 % - Accent5 51 3" xfId="4140"/>
    <cellStyle name="20 % - Accent5 51 3 2" xfId="4141"/>
    <cellStyle name="20 % - Accent5 51 3 3" xfId="4142"/>
    <cellStyle name="20 % - Accent5 51 4" xfId="4143"/>
    <cellStyle name="20 % - Accent5 51 5" xfId="4144"/>
    <cellStyle name="20 % - Accent5 52" xfId="4145"/>
    <cellStyle name="20 % - Accent5 52 2" xfId="4146"/>
    <cellStyle name="20 % - Accent5 52 2 2" xfId="4147"/>
    <cellStyle name="20 % - Accent5 52 2 3" xfId="4148"/>
    <cellStyle name="20 % - Accent5 52 3" xfId="4149"/>
    <cellStyle name="20 % - Accent5 52 3 2" xfId="4150"/>
    <cellStyle name="20 % - Accent5 52 3 3" xfId="4151"/>
    <cellStyle name="20 % - Accent5 52 4" xfId="4152"/>
    <cellStyle name="20 % - Accent5 52 5" xfId="4153"/>
    <cellStyle name="20 % - Accent5 53" xfId="4154"/>
    <cellStyle name="20 % - Accent5 53 2" xfId="4155"/>
    <cellStyle name="20 % - Accent5 53 2 2" xfId="4156"/>
    <cellStyle name="20 % - Accent5 53 2 3" xfId="4157"/>
    <cellStyle name="20 % - Accent5 53 3" xfId="4158"/>
    <cellStyle name="20 % - Accent5 53 3 2" xfId="4159"/>
    <cellStyle name="20 % - Accent5 53 3 3" xfId="4160"/>
    <cellStyle name="20 % - Accent5 53 4" xfId="4161"/>
    <cellStyle name="20 % - Accent5 53 5" xfId="4162"/>
    <cellStyle name="20 % - Accent5 54" xfId="4163"/>
    <cellStyle name="20 % - Accent5 54 2" xfId="4164"/>
    <cellStyle name="20 % - Accent5 54 2 2" xfId="4165"/>
    <cellStyle name="20 % - Accent5 54 2 3" xfId="4166"/>
    <cellStyle name="20 % - Accent5 54 3" xfId="4167"/>
    <cellStyle name="20 % - Accent5 54 3 2" xfId="4168"/>
    <cellStyle name="20 % - Accent5 54 3 3" xfId="4169"/>
    <cellStyle name="20 % - Accent5 54 4" xfId="4170"/>
    <cellStyle name="20 % - Accent5 54 5" xfId="4171"/>
    <cellStyle name="20 % - Accent5 55" xfId="4172"/>
    <cellStyle name="20 % - Accent5 55 2" xfId="4173"/>
    <cellStyle name="20 % - Accent5 55 2 2" xfId="4174"/>
    <cellStyle name="20 % - Accent5 55 2 3" xfId="4175"/>
    <cellStyle name="20 % - Accent5 55 3" xfId="4176"/>
    <cellStyle name="20 % - Accent5 55 3 2" xfId="4177"/>
    <cellStyle name="20 % - Accent5 55 3 3" xfId="4178"/>
    <cellStyle name="20 % - Accent5 55 4" xfId="4179"/>
    <cellStyle name="20 % - Accent5 55 5" xfId="4180"/>
    <cellStyle name="20 % - Accent5 56" xfId="4181"/>
    <cellStyle name="20 % - Accent5 56 2" xfId="4182"/>
    <cellStyle name="20 % - Accent5 56 2 2" xfId="4183"/>
    <cellStyle name="20 % - Accent5 56 2 3" xfId="4184"/>
    <cellStyle name="20 % - Accent5 56 3" xfId="4185"/>
    <cellStyle name="20 % - Accent5 56 3 2" xfId="4186"/>
    <cellStyle name="20 % - Accent5 56 3 3" xfId="4187"/>
    <cellStyle name="20 % - Accent5 56 4" xfId="4188"/>
    <cellStyle name="20 % - Accent5 56 5" xfId="4189"/>
    <cellStyle name="20 % - Accent5 57" xfId="4190"/>
    <cellStyle name="20 % - Accent5 57 2" xfId="4191"/>
    <cellStyle name="20 % - Accent5 57 2 2" xfId="4192"/>
    <cellStyle name="20 % - Accent5 57 2 3" xfId="4193"/>
    <cellStyle name="20 % - Accent5 57 3" xfId="4194"/>
    <cellStyle name="20 % - Accent5 57 3 2" xfId="4195"/>
    <cellStyle name="20 % - Accent5 57 3 3" xfId="4196"/>
    <cellStyle name="20 % - Accent5 57 4" xfId="4197"/>
    <cellStyle name="20 % - Accent5 57 5" xfId="4198"/>
    <cellStyle name="20 % - Accent5 58" xfId="4199"/>
    <cellStyle name="20 % - Accent5 58 2" xfId="4200"/>
    <cellStyle name="20 % - Accent5 58 2 2" xfId="4201"/>
    <cellStyle name="20 % - Accent5 58 2 3" xfId="4202"/>
    <cellStyle name="20 % - Accent5 58 3" xfId="4203"/>
    <cellStyle name="20 % - Accent5 58 3 2" xfId="4204"/>
    <cellStyle name="20 % - Accent5 58 3 3" xfId="4205"/>
    <cellStyle name="20 % - Accent5 58 4" xfId="4206"/>
    <cellStyle name="20 % - Accent5 58 5" xfId="4207"/>
    <cellStyle name="20 % - Accent5 59" xfId="4208"/>
    <cellStyle name="20 % - Accent5 59 2" xfId="4209"/>
    <cellStyle name="20 % - Accent5 59 2 2" xfId="4210"/>
    <cellStyle name="20 % - Accent5 59 2 3" xfId="4211"/>
    <cellStyle name="20 % - Accent5 59 3" xfId="4212"/>
    <cellStyle name="20 % - Accent5 59 3 2" xfId="4213"/>
    <cellStyle name="20 % - Accent5 59 3 3" xfId="4214"/>
    <cellStyle name="20 % - Accent5 59 4" xfId="4215"/>
    <cellStyle name="20 % - Accent5 59 5" xfId="4216"/>
    <cellStyle name="20 % - Accent5 6" xfId="397"/>
    <cellStyle name="20 % - Accent5 6 2" xfId="398"/>
    <cellStyle name="20 % - Accent5 6 2 2" xfId="399"/>
    <cellStyle name="20 % - Accent5 6 2 3" xfId="4217"/>
    <cellStyle name="20 % - Accent5 6 3" xfId="400"/>
    <cellStyle name="20 % - Accent5 6 3 2" xfId="4218"/>
    <cellStyle name="20 % - Accent5 6 3 3" xfId="4219"/>
    <cellStyle name="20 % - Accent5 6 4" xfId="4220"/>
    <cellStyle name="20 % - Accent5 6 5" xfId="4221"/>
    <cellStyle name="20 % - Accent5 60" xfId="4222"/>
    <cellStyle name="20 % - Accent5 60 2" xfId="4223"/>
    <cellStyle name="20 % - Accent5 60 2 2" xfId="4224"/>
    <cellStyle name="20 % - Accent5 60 2 3" xfId="4225"/>
    <cellStyle name="20 % - Accent5 60 3" xfId="4226"/>
    <cellStyle name="20 % - Accent5 60 3 2" xfId="4227"/>
    <cellStyle name="20 % - Accent5 60 3 3" xfId="4228"/>
    <cellStyle name="20 % - Accent5 60 4" xfId="4229"/>
    <cellStyle name="20 % - Accent5 60 5" xfId="4230"/>
    <cellStyle name="20 % - Accent5 61" xfId="4231"/>
    <cellStyle name="20 % - Accent5 61 2" xfId="4232"/>
    <cellStyle name="20 % - Accent5 61 2 2" xfId="4233"/>
    <cellStyle name="20 % - Accent5 61 2 3" xfId="4234"/>
    <cellStyle name="20 % - Accent5 61 3" xfId="4235"/>
    <cellStyle name="20 % - Accent5 61 3 2" xfId="4236"/>
    <cellStyle name="20 % - Accent5 61 3 3" xfId="4237"/>
    <cellStyle name="20 % - Accent5 61 4" xfId="4238"/>
    <cellStyle name="20 % - Accent5 61 5" xfId="4239"/>
    <cellStyle name="20 % - Accent5 62" xfId="4240"/>
    <cellStyle name="20 % - Accent5 62 2" xfId="4241"/>
    <cellStyle name="20 % - Accent5 62 2 2" xfId="4242"/>
    <cellStyle name="20 % - Accent5 62 2 3" xfId="4243"/>
    <cellStyle name="20 % - Accent5 62 3" xfId="4244"/>
    <cellStyle name="20 % - Accent5 62 3 2" xfId="4245"/>
    <cellStyle name="20 % - Accent5 62 3 3" xfId="4246"/>
    <cellStyle name="20 % - Accent5 62 4" xfId="4247"/>
    <cellStyle name="20 % - Accent5 62 5" xfId="4248"/>
    <cellStyle name="20 % - Accent5 63" xfId="4249"/>
    <cellStyle name="20 % - Accent5 63 2" xfId="4250"/>
    <cellStyle name="20 % - Accent5 63 2 2" xfId="4251"/>
    <cellStyle name="20 % - Accent5 63 2 3" xfId="4252"/>
    <cellStyle name="20 % - Accent5 63 3" xfId="4253"/>
    <cellStyle name="20 % - Accent5 63 3 2" xfId="4254"/>
    <cellStyle name="20 % - Accent5 63 3 3" xfId="4255"/>
    <cellStyle name="20 % - Accent5 63 4" xfId="4256"/>
    <cellStyle name="20 % - Accent5 63 5" xfId="4257"/>
    <cellStyle name="20 % - Accent5 64" xfId="4258"/>
    <cellStyle name="20 % - Accent5 64 2" xfId="4259"/>
    <cellStyle name="20 % - Accent5 64 2 2" xfId="4260"/>
    <cellStyle name="20 % - Accent5 64 2 3" xfId="4261"/>
    <cellStyle name="20 % - Accent5 64 3" xfId="4262"/>
    <cellStyle name="20 % - Accent5 64 3 2" xfId="4263"/>
    <cellStyle name="20 % - Accent5 64 3 3" xfId="4264"/>
    <cellStyle name="20 % - Accent5 64 4" xfId="4265"/>
    <cellStyle name="20 % - Accent5 64 5" xfId="4266"/>
    <cellStyle name="20 % - Accent5 65" xfId="4267"/>
    <cellStyle name="20 % - Accent5 65 2" xfId="4268"/>
    <cellStyle name="20 % - Accent5 65 2 2" xfId="4269"/>
    <cellStyle name="20 % - Accent5 65 2 3" xfId="4270"/>
    <cellStyle name="20 % - Accent5 65 3" xfId="4271"/>
    <cellStyle name="20 % - Accent5 65 3 2" xfId="4272"/>
    <cellStyle name="20 % - Accent5 65 3 3" xfId="4273"/>
    <cellStyle name="20 % - Accent5 65 4" xfId="4274"/>
    <cellStyle name="20 % - Accent5 65 5" xfId="4275"/>
    <cellStyle name="20 % - Accent5 66" xfId="4276"/>
    <cellStyle name="20 % - Accent5 66 2" xfId="4277"/>
    <cellStyle name="20 % - Accent5 66 2 2" xfId="4278"/>
    <cellStyle name="20 % - Accent5 66 2 3" xfId="4279"/>
    <cellStyle name="20 % - Accent5 66 3" xfId="4280"/>
    <cellStyle name="20 % - Accent5 66 3 2" xfId="4281"/>
    <cellStyle name="20 % - Accent5 66 3 3" xfId="4282"/>
    <cellStyle name="20 % - Accent5 66 4" xfId="4283"/>
    <cellStyle name="20 % - Accent5 66 5" xfId="4284"/>
    <cellStyle name="20 % - Accent5 67" xfId="4285"/>
    <cellStyle name="20 % - Accent5 67 2" xfId="4286"/>
    <cellStyle name="20 % - Accent5 67 2 2" xfId="4287"/>
    <cellStyle name="20 % - Accent5 67 2 3" xfId="4288"/>
    <cellStyle name="20 % - Accent5 67 3" xfId="4289"/>
    <cellStyle name="20 % - Accent5 67 3 2" xfId="4290"/>
    <cellStyle name="20 % - Accent5 67 3 3" xfId="4291"/>
    <cellStyle name="20 % - Accent5 67 4" xfId="4292"/>
    <cellStyle name="20 % - Accent5 67 5" xfId="4293"/>
    <cellStyle name="20 % - Accent5 68" xfId="4294"/>
    <cellStyle name="20 % - Accent5 68 2" xfId="4295"/>
    <cellStyle name="20 % - Accent5 68 2 2" xfId="4296"/>
    <cellStyle name="20 % - Accent5 68 2 3" xfId="4297"/>
    <cellStyle name="20 % - Accent5 68 3" xfId="4298"/>
    <cellStyle name="20 % - Accent5 68 3 2" xfId="4299"/>
    <cellStyle name="20 % - Accent5 68 3 3" xfId="4300"/>
    <cellStyle name="20 % - Accent5 68 4" xfId="4301"/>
    <cellStyle name="20 % - Accent5 68 5" xfId="4302"/>
    <cellStyle name="20 % - Accent5 69" xfId="4303"/>
    <cellStyle name="20 % - Accent5 69 2" xfId="4304"/>
    <cellStyle name="20 % - Accent5 69 2 2" xfId="4305"/>
    <cellStyle name="20 % - Accent5 69 2 3" xfId="4306"/>
    <cellStyle name="20 % - Accent5 69 3" xfId="4307"/>
    <cellStyle name="20 % - Accent5 69 3 2" xfId="4308"/>
    <cellStyle name="20 % - Accent5 69 3 3" xfId="4309"/>
    <cellStyle name="20 % - Accent5 69 4" xfId="4310"/>
    <cellStyle name="20 % - Accent5 69 5" xfId="4311"/>
    <cellStyle name="20 % - Accent5 7" xfId="401"/>
    <cellStyle name="20 % - Accent5 7 2" xfId="402"/>
    <cellStyle name="20 % - Accent5 7 2 2" xfId="403"/>
    <cellStyle name="20 % - Accent5 7 2 3" xfId="4312"/>
    <cellStyle name="20 % - Accent5 7 3" xfId="404"/>
    <cellStyle name="20 % - Accent5 7 3 2" xfId="4313"/>
    <cellStyle name="20 % - Accent5 7 3 3" xfId="4314"/>
    <cellStyle name="20 % - Accent5 7 4" xfId="4315"/>
    <cellStyle name="20 % - Accent5 7 5" xfId="4316"/>
    <cellStyle name="20 % - Accent5 70" xfId="4317"/>
    <cellStyle name="20 % - Accent5 70 2" xfId="4318"/>
    <cellStyle name="20 % - Accent5 70 2 2" xfId="4319"/>
    <cellStyle name="20 % - Accent5 70 2 3" xfId="4320"/>
    <cellStyle name="20 % - Accent5 70 3" xfId="4321"/>
    <cellStyle name="20 % - Accent5 70 3 2" xfId="4322"/>
    <cellStyle name="20 % - Accent5 70 3 3" xfId="4323"/>
    <cellStyle name="20 % - Accent5 70 4" xfId="4324"/>
    <cellStyle name="20 % - Accent5 70 5" xfId="4325"/>
    <cellStyle name="20 % - Accent5 71" xfId="4326"/>
    <cellStyle name="20 % - Accent5 71 2" xfId="4327"/>
    <cellStyle name="20 % - Accent5 71 2 2" xfId="4328"/>
    <cellStyle name="20 % - Accent5 71 2 3" xfId="4329"/>
    <cellStyle name="20 % - Accent5 71 3" xfId="4330"/>
    <cellStyle name="20 % - Accent5 71 3 2" xfId="4331"/>
    <cellStyle name="20 % - Accent5 71 3 3" xfId="4332"/>
    <cellStyle name="20 % - Accent5 71 4" xfId="4333"/>
    <cellStyle name="20 % - Accent5 71 5" xfId="4334"/>
    <cellStyle name="20 % - Accent5 72" xfId="4335"/>
    <cellStyle name="20 % - Accent5 72 2" xfId="4336"/>
    <cellStyle name="20 % - Accent5 72 2 2" xfId="4337"/>
    <cellStyle name="20 % - Accent5 72 2 3" xfId="4338"/>
    <cellStyle name="20 % - Accent5 72 3" xfId="4339"/>
    <cellStyle name="20 % - Accent5 72 3 2" xfId="4340"/>
    <cellStyle name="20 % - Accent5 72 3 3" xfId="4341"/>
    <cellStyle name="20 % - Accent5 72 4" xfId="4342"/>
    <cellStyle name="20 % - Accent5 72 5" xfId="4343"/>
    <cellStyle name="20 % - Accent5 73" xfId="4344"/>
    <cellStyle name="20 % - Accent5 73 2" xfId="4345"/>
    <cellStyle name="20 % - Accent5 73 2 2" xfId="4346"/>
    <cellStyle name="20 % - Accent5 73 2 3" xfId="4347"/>
    <cellStyle name="20 % - Accent5 73 3" xfId="4348"/>
    <cellStyle name="20 % - Accent5 73 3 2" xfId="4349"/>
    <cellStyle name="20 % - Accent5 73 3 3" xfId="4350"/>
    <cellStyle name="20 % - Accent5 73 4" xfId="4351"/>
    <cellStyle name="20 % - Accent5 73 5" xfId="4352"/>
    <cellStyle name="20 % - Accent5 74" xfId="4353"/>
    <cellStyle name="20 % - Accent5 74 2" xfId="4354"/>
    <cellStyle name="20 % - Accent5 74 3" xfId="4355"/>
    <cellStyle name="20 % - Accent5 75" xfId="4356"/>
    <cellStyle name="20 % - Accent5 75 2" xfId="4357"/>
    <cellStyle name="20 % - Accent5 75 3" xfId="4358"/>
    <cellStyle name="20 % - Accent5 76" xfId="4359"/>
    <cellStyle name="20 % - Accent5 76 2" xfId="4360"/>
    <cellStyle name="20 % - Accent5 76 3" xfId="4361"/>
    <cellStyle name="20 % - Accent5 77" xfId="4362"/>
    <cellStyle name="20 % - Accent5 77 2" xfId="4363"/>
    <cellStyle name="20 % - Accent5 77 3" xfId="4364"/>
    <cellStyle name="20 % - Accent5 78" xfId="4365"/>
    <cellStyle name="20 % - Accent5 79" xfId="4366"/>
    <cellStyle name="20 % - Accent5 8" xfId="405"/>
    <cellStyle name="20 % - Accent5 8 2" xfId="406"/>
    <cellStyle name="20 % - Accent5 8 2 2" xfId="407"/>
    <cellStyle name="20 % - Accent5 8 2 3" xfId="4367"/>
    <cellStyle name="20 % - Accent5 8 3" xfId="408"/>
    <cellStyle name="20 % - Accent5 8 3 2" xfId="4368"/>
    <cellStyle name="20 % - Accent5 8 3 3" xfId="4369"/>
    <cellStyle name="20 % - Accent5 8 4" xfId="4370"/>
    <cellStyle name="20 % - Accent5 8 5" xfId="4371"/>
    <cellStyle name="20 % - Accent5 80" xfId="4372"/>
    <cellStyle name="20 % - Accent5 81" xfId="4373"/>
    <cellStyle name="20 % - Accent5 82" xfId="4374"/>
    <cellStyle name="20 % - Accent5 83" xfId="4375"/>
    <cellStyle name="20 % - Accent5 84" xfId="4376"/>
    <cellStyle name="20 % - Accent5 85" xfId="4377"/>
    <cellStyle name="20 % - Accent5 86" xfId="4378"/>
    <cellStyle name="20 % - Accent5 87" xfId="4379"/>
    <cellStyle name="20 % - Accent5 88" xfId="4380"/>
    <cellStyle name="20 % - Accent5 89" xfId="4381"/>
    <cellStyle name="20 % - Accent5 9" xfId="409"/>
    <cellStyle name="20 % - Accent5 9 2" xfId="410"/>
    <cellStyle name="20 % - Accent5 9 2 2" xfId="411"/>
    <cellStyle name="20 % - Accent5 9 2 3" xfId="4382"/>
    <cellStyle name="20 % - Accent5 9 3" xfId="412"/>
    <cellStyle name="20 % - Accent5 9 3 2" xfId="4383"/>
    <cellStyle name="20 % - Accent5 9 3 3" xfId="4384"/>
    <cellStyle name="20 % - Accent5 9 4" xfId="4385"/>
    <cellStyle name="20 % - Accent5 9 5" xfId="4386"/>
    <cellStyle name="20 % - Accent5 90" xfId="4387"/>
    <cellStyle name="20 % - Accent5 91" xfId="4388"/>
    <cellStyle name="20 % - Accent5 92" xfId="4389"/>
    <cellStyle name="20 % - Accent5 93" xfId="4390"/>
    <cellStyle name="20 % - Accent5 94" xfId="4391"/>
    <cellStyle name="20 % - Accent5 95" xfId="4392"/>
    <cellStyle name="20 % - Accent5 96" xfId="4393"/>
    <cellStyle name="20 % - Accent5 97" xfId="4394"/>
    <cellStyle name="20 % - Accent5 98" xfId="4395"/>
    <cellStyle name="20 % - Accent5 99" xfId="4396"/>
    <cellStyle name="20 % - Accent6 10" xfId="413"/>
    <cellStyle name="20 % - Accent6 10 2" xfId="414"/>
    <cellStyle name="20 % - Accent6 10 2 2" xfId="415"/>
    <cellStyle name="20 % - Accent6 10 2 3" xfId="4397"/>
    <cellStyle name="20 % - Accent6 10 3" xfId="416"/>
    <cellStyle name="20 % - Accent6 10 3 2" xfId="4398"/>
    <cellStyle name="20 % - Accent6 10 3 3" xfId="4399"/>
    <cellStyle name="20 % - Accent6 10 4" xfId="4400"/>
    <cellStyle name="20 % - Accent6 10 5" xfId="4401"/>
    <cellStyle name="20 % - Accent6 100" xfId="4402"/>
    <cellStyle name="20 % - Accent6 101" xfId="4403"/>
    <cellStyle name="20 % - Accent6 102" xfId="4404"/>
    <cellStyle name="20 % - Accent6 103" xfId="4405"/>
    <cellStyle name="20 % - Accent6 104" xfId="4406"/>
    <cellStyle name="20 % - Accent6 105" xfId="4407"/>
    <cellStyle name="20 % - Accent6 106" xfId="4408"/>
    <cellStyle name="20 % - Accent6 107" xfId="4409"/>
    <cellStyle name="20 % - Accent6 108" xfId="4410"/>
    <cellStyle name="20 % - Accent6 109" xfId="4411"/>
    <cellStyle name="20 % - Accent6 11" xfId="417"/>
    <cellStyle name="20 % - Accent6 11 2" xfId="418"/>
    <cellStyle name="20 % - Accent6 11 2 2" xfId="419"/>
    <cellStyle name="20 % - Accent6 11 2 3" xfId="4412"/>
    <cellStyle name="20 % - Accent6 11 3" xfId="420"/>
    <cellStyle name="20 % - Accent6 11 3 2" xfId="4413"/>
    <cellStyle name="20 % - Accent6 11 3 3" xfId="4414"/>
    <cellStyle name="20 % - Accent6 11 4" xfId="4415"/>
    <cellStyle name="20 % - Accent6 11 5" xfId="4416"/>
    <cellStyle name="20 % - Accent6 110" xfId="4417"/>
    <cellStyle name="20 % - Accent6 111" xfId="4418"/>
    <cellStyle name="20 % - Accent6 112" xfId="4419"/>
    <cellStyle name="20 % - Accent6 113" xfId="4420"/>
    <cellStyle name="20 % - Accent6 114" xfId="4421"/>
    <cellStyle name="20 % - Accent6 115" xfId="4422"/>
    <cellStyle name="20 % - Accent6 116" xfId="4423"/>
    <cellStyle name="20 % - Accent6 117" xfId="4424"/>
    <cellStyle name="20 % - Accent6 118" xfId="4425"/>
    <cellStyle name="20 % - Accent6 119" xfId="4426"/>
    <cellStyle name="20 % - Accent6 12" xfId="421"/>
    <cellStyle name="20 % - Accent6 12 2" xfId="422"/>
    <cellStyle name="20 % - Accent6 12 2 2" xfId="423"/>
    <cellStyle name="20 % - Accent6 12 2 3" xfId="4427"/>
    <cellStyle name="20 % - Accent6 12 3" xfId="424"/>
    <cellStyle name="20 % - Accent6 12 3 2" xfId="4428"/>
    <cellStyle name="20 % - Accent6 12 3 3" xfId="4429"/>
    <cellStyle name="20 % - Accent6 12 4" xfId="4430"/>
    <cellStyle name="20 % - Accent6 12 5" xfId="4431"/>
    <cellStyle name="20 % - Accent6 120" xfId="4432"/>
    <cellStyle name="20 % - Accent6 121" xfId="4433"/>
    <cellStyle name="20 % - Accent6 122" xfId="4434"/>
    <cellStyle name="20 % - Accent6 123" xfId="4435"/>
    <cellStyle name="20 % - Accent6 124" xfId="4436"/>
    <cellStyle name="20 % - Accent6 125" xfId="4437"/>
    <cellStyle name="20 % - Accent6 126" xfId="4438"/>
    <cellStyle name="20 % - Accent6 127" xfId="4439"/>
    <cellStyle name="20 % - Accent6 128" xfId="4440"/>
    <cellStyle name="20 % - Accent6 129" xfId="4441"/>
    <cellStyle name="20 % - Accent6 13" xfId="425"/>
    <cellStyle name="20 % - Accent6 13 2" xfId="426"/>
    <cellStyle name="20 % - Accent6 13 2 2" xfId="427"/>
    <cellStyle name="20 % - Accent6 13 2 3" xfId="4442"/>
    <cellStyle name="20 % - Accent6 13 3" xfId="428"/>
    <cellStyle name="20 % - Accent6 13 3 2" xfId="4443"/>
    <cellStyle name="20 % - Accent6 13 3 3" xfId="4444"/>
    <cellStyle name="20 % - Accent6 13 4" xfId="4445"/>
    <cellStyle name="20 % - Accent6 13 5" xfId="4446"/>
    <cellStyle name="20 % - Accent6 130" xfId="4447"/>
    <cellStyle name="20 % - Accent6 131" xfId="4448"/>
    <cellStyle name="20 % - Accent6 132" xfId="4449"/>
    <cellStyle name="20 % - Accent6 133" xfId="4450"/>
    <cellStyle name="20 % - Accent6 134" xfId="4451"/>
    <cellStyle name="20 % - Accent6 135" xfId="4452"/>
    <cellStyle name="20 % - Accent6 136" xfId="4453"/>
    <cellStyle name="20 % - Accent6 137" xfId="4454"/>
    <cellStyle name="20 % - Accent6 138" xfId="4455"/>
    <cellStyle name="20 % - Accent6 139" xfId="4456"/>
    <cellStyle name="20 % - Accent6 14" xfId="429"/>
    <cellStyle name="20 % - Accent6 14 2" xfId="430"/>
    <cellStyle name="20 % - Accent6 14 2 2" xfId="431"/>
    <cellStyle name="20 % - Accent6 14 2 3" xfId="4457"/>
    <cellStyle name="20 % - Accent6 14 3" xfId="432"/>
    <cellStyle name="20 % - Accent6 14 3 2" xfId="4458"/>
    <cellStyle name="20 % - Accent6 14 3 3" xfId="4459"/>
    <cellStyle name="20 % - Accent6 14 4" xfId="4460"/>
    <cellStyle name="20 % - Accent6 14 5" xfId="4461"/>
    <cellStyle name="20 % - Accent6 140" xfId="4462"/>
    <cellStyle name="20 % - Accent6 15" xfId="433"/>
    <cellStyle name="20 % - Accent6 15 2" xfId="434"/>
    <cellStyle name="20 % - Accent6 15 2 2" xfId="435"/>
    <cellStyle name="20 % - Accent6 15 2 3" xfId="4463"/>
    <cellStyle name="20 % - Accent6 15 3" xfId="436"/>
    <cellStyle name="20 % - Accent6 15 3 2" xfId="4464"/>
    <cellStyle name="20 % - Accent6 15 3 3" xfId="4465"/>
    <cellStyle name="20 % - Accent6 15 4" xfId="4466"/>
    <cellStyle name="20 % - Accent6 15 5" xfId="4467"/>
    <cellStyle name="20 % - Accent6 16" xfId="437"/>
    <cellStyle name="20 % - Accent6 16 2" xfId="438"/>
    <cellStyle name="20 % - Accent6 16 2 2" xfId="439"/>
    <cellStyle name="20 % - Accent6 16 2 3" xfId="4468"/>
    <cellStyle name="20 % - Accent6 16 3" xfId="440"/>
    <cellStyle name="20 % - Accent6 16 3 2" xfId="4469"/>
    <cellStyle name="20 % - Accent6 16 3 3" xfId="4470"/>
    <cellStyle name="20 % - Accent6 16 4" xfId="4471"/>
    <cellStyle name="20 % - Accent6 16 5" xfId="4472"/>
    <cellStyle name="20 % - Accent6 17" xfId="441"/>
    <cellStyle name="20 % - Accent6 17 2" xfId="442"/>
    <cellStyle name="20 % - Accent6 17 2 2" xfId="443"/>
    <cellStyle name="20 % - Accent6 17 2 3" xfId="4473"/>
    <cellStyle name="20 % - Accent6 17 3" xfId="444"/>
    <cellStyle name="20 % - Accent6 17 3 2" xfId="4474"/>
    <cellStyle name="20 % - Accent6 17 3 3" xfId="4475"/>
    <cellStyle name="20 % - Accent6 17 4" xfId="4476"/>
    <cellStyle name="20 % - Accent6 17 5" xfId="4477"/>
    <cellStyle name="20 % - Accent6 18" xfId="445"/>
    <cellStyle name="20 % - Accent6 18 2" xfId="446"/>
    <cellStyle name="20 % - Accent6 18 2 2" xfId="447"/>
    <cellStyle name="20 % - Accent6 18 2 3" xfId="4478"/>
    <cellStyle name="20 % - Accent6 18 3" xfId="448"/>
    <cellStyle name="20 % - Accent6 18 3 2" xfId="4479"/>
    <cellStyle name="20 % - Accent6 18 3 3" xfId="4480"/>
    <cellStyle name="20 % - Accent6 18 4" xfId="4481"/>
    <cellStyle name="20 % - Accent6 18 5" xfId="4482"/>
    <cellStyle name="20 % - Accent6 19" xfId="4483"/>
    <cellStyle name="20 % - Accent6 19 2" xfId="4484"/>
    <cellStyle name="20 % - Accent6 19 2 2" xfId="4485"/>
    <cellStyle name="20 % - Accent6 19 2 3" xfId="4486"/>
    <cellStyle name="20 % - Accent6 19 3" xfId="4487"/>
    <cellStyle name="20 % - Accent6 19 3 2" xfId="4488"/>
    <cellStyle name="20 % - Accent6 19 3 3" xfId="4489"/>
    <cellStyle name="20 % - Accent6 19 4" xfId="4490"/>
    <cellStyle name="20 % - Accent6 19 5" xfId="4491"/>
    <cellStyle name="20 % - Accent6 2" xfId="449"/>
    <cellStyle name="20 % - Accent6 2 2" xfId="450"/>
    <cellStyle name="20 % - Accent6 2 2 2" xfId="451"/>
    <cellStyle name="20 % - Accent6 2 2 3" xfId="4492"/>
    <cellStyle name="20 % - Accent6 2 3" xfId="452"/>
    <cellStyle name="20 % - Accent6 2 3 2" xfId="4493"/>
    <cellStyle name="20 % - Accent6 2 3 3" xfId="4494"/>
    <cellStyle name="20 % - Accent6 2 4" xfId="4495"/>
    <cellStyle name="20 % - Accent6 2 5" xfId="4496"/>
    <cellStyle name="20 % - Accent6 20" xfId="4497"/>
    <cellStyle name="20 % - Accent6 20 2" xfId="4498"/>
    <cellStyle name="20 % - Accent6 20 2 2" xfId="4499"/>
    <cellStyle name="20 % - Accent6 20 2 3" xfId="4500"/>
    <cellStyle name="20 % - Accent6 20 3" xfId="4501"/>
    <cellStyle name="20 % - Accent6 20 3 2" xfId="4502"/>
    <cellStyle name="20 % - Accent6 20 3 3" xfId="4503"/>
    <cellStyle name="20 % - Accent6 20 4" xfId="4504"/>
    <cellStyle name="20 % - Accent6 20 5" xfId="4505"/>
    <cellStyle name="20 % - Accent6 21" xfId="4506"/>
    <cellStyle name="20 % - Accent6 21 2" xfId="4507"/>
    <cellStyle name="20 % - Accent6 21 2 2" xfId="4508"/>
    <cellStyle name="20 % - Accent6 21 2 3" xfId="4509"/>
    <cellStyle name="20 % - Accent6 21 3" xfId="4510"/>
    <cellStyle name="20 % - Accent6 21 3 2" xfId="4511"/>
    <cellStyle name="20 % - Accent6 21 3 3" xfId="4512"/>
    <cellStyle name="20 % - Accent6 21 4" xfId="4513"/>
    <cellStyle name="20 % - Accent6 21 5" xfId="4514"/>
    <cellStyle name="20 % - Accent6 22" xfId="4515"/>
    <cellStyle name="20 % - Accent6 22 2" xfId="4516"/>
    <cellStyle name="20 % - Accent6 22 2 2" xfId="4517"/>
    <cellStyle name="20 % - Accent6 22 2 3" xfId="4518"/>
    <cellStyle name="20 % - Accent6 22 3" xfId="4519"/>
    <cellStyle name="20 % - Accent6 22 3 2" xfId="4520"/>
    <cellStyle name="20 % - Accent6 22 3 3" xfId="4521"/>
    <cellStyle name="20 % - Accent6 22 4" xfId="4522"/>
    <cellStyle name="20 % - Accent6 22 5" xfId="4523"/>
    <cellStyle name="20 % - Accent6 23" xfId="4524"/>
    <cellStyle name="20 % - Accent6 23 2" xfId="4525"/>
    <cellStyle name="20 % - Accent6 23 2 2" xfId="4526"/>
    <cellStyle name="20 % - Accent6 23 2 3" xfId="4527"/>
    <cellStyle name="20 % - Accent6 23 3" xfId="4528"/>
    <cellStyle name="20 % - Accent6 23 3 2" xfId="4529"/>
    <cellStyle name="20 % - Accent6 23 3 3" xfId="4530"/>
    <cellStyle name="20 % - Accent6 23 4" xfId="4531"/>
    <cellStyle name="20 % - Accent6 23 5" xfId="4532"/>
    <cellStyle name="20 % - Accent6 24" xfId="4533"/>
    <cellStyle name="20 % - Accent6 24 2" xfId="4534"/>
    <cellStyle name="20 % - Accent6 24 2 2" xfId="4535"/>
    <cellStyle name="20 % - Accent6 24 2 3" xfId="4536"/>
    <cellStyle name="20 % - Accent6 24 3" xfId="4537"/>
    <cellStyle name="20 % - Accent6 24 3 2" xfId="4538"/>
    <cellStyle name="20 % - Accent6 24 3 3" xfId="4539"/>
    <cellStyle name="20 % - Accent6 24 4" xfId="4540"/>
    <cellStyle name="20 % - Accent6 24 5" xfId="4541"/>
    <cellStyle name="20 % - Accent6 25" xfId="4542"/>
    <cellStyle name="20 % - Accent6 25 2" xfId="4543"/>
    <cellStyle name="20 % - Accent6 25 2 2" xfId="4544"/>
    <cellStyle name="20 % - Accent6 25 2 3" xfId="4545"/>
    <cellStyle name="20 % - Accent6 25 3" xfId="4546"/>
    <cellStyle name="20 % - Accent6 25 3 2" xfId="4547"/>
    <cellStyle name="20 % - Accent6 25 3 3" xfId="4548"/>
    <cellStyle name="20 % - Accent6 25 4" xfId="4549"/>
    <cellStyle name="20 % - Accent6 25 5" xfId="4550"/>
    <cellStyle name="20 % - Accent6 26" xfId="4551"/>
    <cellStyle name="20 % - Accent6 26 2" xfId="4552"/>
    <cellStyle name="20 % - Accent6 26 2 2" xfId="4553"/>
    <cellStyle name="20 % - Accent6 26 2 3" xfId="4554"/>
    <cellStyle name="20 % - Accent6 26 3" xfId="4555"/>
    <cellStyle name="20 % - Accent6 26 3 2" xfId="4556"/>
    <cellStyle name="20 % - Accent6 26 3 3" xfId="4557"/>
    <cellStyle name="20 % - Accent6 26 4" xfId="4558"/>
    <cellStyle name="20 % - Accent6 26 5" xfId="4559"/>
    <cellStyle name="20 % - Accent6 27" xfId="4560"/>
    <cellStyle name="20 % - Accent6 27 2" xfId="4561"/>
    <cellStyle name="20 % - Accent6 27 2 2" xfId="4562"/>
    <cellStyle name="20 % - Accent6 27 2 3" xfId="4563"/>
    <cellStyle name="20 % - Accent6 27 3" xfId="4564"/>
    <cellStyle name="20 % - Accent6 27 3 2" xfId="4565"/>
    <cellStyle name="20 % - Accent6 27 3 3" xfId="4566"/>
    <cellStyle name="20 % - Accent6 27 4" xfId="4567"/>
    <cellStyle name="20 % - Accent6 27 5" xfId="4568"/>
    <cellStyle name="20 % - Accent6 28" xfId="4569"/>
    <cellStyle name="20 % - Accent6 28 2" xfId="4570"/>
    <cellStyle name="20 % - Accent6 28 2 2" xfId="4571"/>
    <cellStyle name="20 % - Accent6 28 2 3" xfId="4572"/>
    <cellStyle name="20 % - Accent6 28 3" xfId="4573"/>
    <cellStyle name="20 % - Accent6 28 3 2" xfId="4574"/>
    <cellStyle name="20 % - Accent6 28 3 3" xfId="4575"/>
    <cellStyle name="20 % - Accent6 28 4" xfId="4576"/>
    <cellStyle name="20 % - Accent6 28 5" xfId="4577"/>
    <cellStyle name="20 % - Accent6 29" xfId="4578"/>
    <cellStyle name="20 % - Accent6 29 2" xfId="4579"/>
    <cellStyle name="20 % - Accent6 29 2 2" xfId="4580"/>
    <cellStyle name="20 % - Accent6 29 2 3" xfId="4581"/>
    <cellStyle name="20 % - Accent6 29 3" xfId="4582"/>
    <cellStyle name="20 % - Accent6 29 3 2" xfId="4583"/>
    <cellStyle name="20 % - Accent6 29 3 3" xfId="4584"/>
    <cellStyle name="20 % - Accent6 29 4" xfId="4585"/>
    <cellStyle name="20 % - Accent6 29 5" xfId="4586"/>
    <cellStyle name="20 % - Accent6 3" xfId="453"/>
    <cellStyle name="20 % - Accent6 3 2" xfId="454"/>
    <cellStyle name="20 % - Accent6 3 2 2" xfId="455"/>
    <cellStyle name="20 % - Accent6 3 2 3" xfId="4587"/>
    <cellStyle name="20 % - Accent6 3 3" xfId="456"/>
    <cellStyle name="20 % - Accent6 3 3 2" xfId="4588"/>
    <cellStyle name="20 % - Accent6 3 3 3" xfId="4589"/>
    <cellStyle name="20 % - Accent6 3 4" xfId="4590"/>
    <cellStyle name="20 % - Accent6 3 5" xfId="4591"/>
    <cellStyle name="20 % - Accent6 30" xfId="4592"/>
    <cellStyle name="20 % - Accent6 30 2" xfId="4593"/>
    <cellStyle name="20 % - Accent6 30 2 2" xfId="4594"/>
    <cellStyle name="20 % - Accent6 30 2 3" xfId="4595"/>
    <cellStyle name="20 % - Accent6 30 3" xfId="4596"/>
    <cellStyle name="20 % - Accent6 30 3 2" xfId="4597"/>
    <cellStyle name="20 % - Accent6 30 3 3" xfId="4598"/>
    <cellStyle name="20 % - Accent6 30 4" xfId="4599"/>
    <cellStyle name="20 % - Accent6 30 5" xfId="4600"/>
    <cellStyle name="20 % - Accent6 31" xfId="4601"/>
    <cellStyle name="20 % - Accent6 31 2" xfId="4602"/>
    <cellStyle name="20 % - Accent6 31 2 2" xfId="4603"/>
    <cellStyle name="20 % - Accent6 31 2 3" xfId="4604"/>
    <cellStyle name="20 % - Accent6 31 3" xfId="4605"/>
    <cellStyle name="20 % - Accent6 31 3 2" xfId="4606"/>
    <cellStyle name="20 % - Accent6 31 3 3" xfId="4607"/>
    <cellStyle name="20 % - Accent6 31 4" xfId="4608"/>
    <cellStyle name="20 % - Accent6 31 5" xfId="4609"/>
    <cellStyle name="20 % - Accent6 32" xfId="4610"/>
    <cellStyle name="20 % - Accent6 32 2" xfId="4611"/>
    <cellStyle name="20 % - Accent6 32 2 2" xfId="4612"/>
    <cellStyle name="20 % - Accent6 32 2 3" xfId="4613"/>
    <cellStyle name="20 % - Accent6 32 3" xfId="4614"/>
    <cellStyle name="20 % - Accent6 32 3 2" xfId="4615"/>
    <cellStyle name="20 % - Accent6 32 3 3" xfId="4616"/>
    <cellStyle name="20 % - Accent6 32 4" xfId="4617"/>
    <cellStyle name="20 % - Accent6 32 5" xfId="4618"/>
    <cellStyle name="20 % - Accent6 33" xfId="4619"/>
    <cellStyle name="20 % - Accent6 33 2" xfId="4620"/>
    <cellStyle name="20 % - Accent6 33 2 2" xfId="4621"/>
    <cellStyle name="20 % - Accent6 33 2 3" xfId="4622"/>
    <cellStyle name="20 % - Accent6 33 3" xfId="4623"/>
    <cellStyle name="20 % - Accent6 33 3 2" xfId="4624"/>
    <cellStyle name="20 % - Accent6 33 3 3" xfId="4625"/>
    <cellStyle name="20 % - Accent6 33 4" xfId="4626"/>
    <cellStyle name="20 % - Accent6 33 5" xfId="4627"/>
    <cellStyle name="20 % - Accent6 34" xfId="4628"/>
    <cellStyle name="20 % - Accent6 34 2" xfId="4629"/>
    <cellStyle name="20 % - Accent6 34 2 2" xfId="4630"/>
    <cellStyle name="20 % - Accent6 34 2 3" xfId="4631"/>
    <cellStyle name="20 % - Accent6 34 3" xfId="4632"/>
    <cellStyle name="20 % - Accent6 34 3 2" xfId="4633"/>
    <cellStyle name="20 % - Accent6 34 3 3" xfId="4634"/>
    <cellStyle name="20 % - Accent6 34 4" xfId="4635"/>
    <cellStyle name="20 % - Accent6 34 5" xfId="4636"/>
    <cellStyle name="20 % - Accent6 35" xfId="4637"/>
    <cellStyle name="20 % - Accent6 35 2" xfId="4638"/>
    <cellStyle name="20 % - Accent6 35 2 2" xfId="4639"/>
    <cellStyle name="20 % - Accent6 35 2 3" xfId="4640"/>
    <cellStyle name="20 % - Accent6 35 3" xfId="4641"/>
    <cellStyle name="20 % - Accent6 35 3 2" xfId="4642"/>
    <cellStyle name="20 % - Accent6 35 3 3" xfId="4643"/>
    <cellStyle name="20 % - Accent6 35 4" xfId="4644"/>
    <cellStyle name="20 % - Accent6 35 5" xfId="4645"/>
    <cellStyle name="20 % - Accent6 36" xfId="4646"/>
    <cellStyle name="20 % - Accent6 36 2" xfId="4647"/>
    <cellStyle name="20 % - Accent6 36 2 2" xfId="4648"/>
    <cellStyle name="20 % - Accent6 36 2 3" xfId="4649"/>
    <cellStyle name="20 % - Accent6 36 3" xfId="4650"/>
    <cellStyle name="20 % - Accent6 36 3 2" xfId="4651"/>
    <cellStyle name="20 % - Accent6 36 3 3" xfId="4652"/>
    <cellStyle name="20 % - Accent6 36 4" xfId="4653"/>
    <cellStyle name="20 % - Accent6 36 5" xfId="4654"/>
    <cellStyle name="20 % - Accent6 37" xfId="4655"/>
    <cellStyle name="20 % - Accent6 37 2" xfId="4656"/>
    <cellStyle name="20 % - Accent6 37 2 2" xfId="4657"/>
    <cellStyle name="20 % - Accent6 37 2 3" xfId="4658"/>
    <cellStyle name="20 % - Accent6 37 3" xfId="4659"/>
    <cellStyle name="20 % - Accent6 37 3 2" xfId="4660"/>
    <cellStyle name="20 % - Accent6 37 3 3" xfId="4661"/>
    <cellStyle name="20 % - Accent6 37 4" xfId="4662"/>
    <cellStyle name="20 % - Accent6 37 5" xfId="4663"/>
    <cellStyle name="20 % - Accent6 38" xfId="4664"/>
    <cellStyle name="20 % - Accent6 38 2" xfId="4665"/>
    <cellStyle name="20 % - Accent6 38 2 2" xfId="4666"/>
    <cellStyle name="20 % - Accent6 38 2 3" xfId="4667"/>
    <cellStyle name="20 % - Accent6 38 3" xfId="4668"/>
    <cellStyle name="20 % - Accent6 38 3 2" xfId="4669"/>
    <cellStyle name="20 % - Accent6 38 3 3" xfId="4670"/>
    <cellStyle name="20 % - Accent6 38 4" xfId="4671"/>
    <cellStyle name="20 % - Accent6 38 5" xfId="4672"/>
    <cellStyle name="20 % - Accent6 39" xfId="4673"/>
    <cellStyle name="20 % - Accent6 39 2" xfId="4674"/>
    <cellStyle name="20 % - Accent6 39 2 2" xfId="4675"/>
    <cellStyle name="20 % - Accent6 39 2 3" xfId="4676"/>
    <cellStyle name="20 % - Accent6 39 3" xfId="4677"/>
    <cellStyle name="20 % - Accent6 39 3 2" xfId="4678"/>
    <cellStyle name="20 % - Accent6 39 3 3" xfId="4679"/>
    <cellStyle name="20 % - Accent6 39 4" xfId="4680"/>
    <cellStyle name="20 % - Accent6 39 5" xfId="4681"/>
    <cellStyle name="20 % - Accent6 4" xfId="457"/>
    <cellStyle name="20 % - Accent6 4 2" xfId="458"/>
    <cellStyle name="20 % - Accent6 4 2 2" xfId="459"/>
    <cellStyle name="20 % - Accent6 4 2 3" xfId="4682"/>
    <cellStyle name="20 % - Accent6 4 3" xfId="460"/>
    <cellStyle name="20 % - Accent6 4 3 2" xfId="4683"/>
    <cellStyle name="20 % - Accent6 4 3 3" xfId="4684"/>
    <cellStyle name="20 % - Accent6 4 4" xfId="4685"/>
    <cellStyle name="20 % - Accent6 4 5" xfId="4686"/>
    <cellStyle name="20 % - Accent6 40" xfId="4687"/>
    <cellStyle name="20 % - Accent6 40 2" xfId="4688"/>
    <cellStyle name="20 % - Accent6 40 2 2" xfId="4689"/>
    <cellStyle name="20 % - Accent6 40 2 3" xfId="4690"/>
    <cellStyle name="20 % - Accent6 40 3" xfId="4691"/>
    <cellStyle name="20 % - Accent6 40 3 2" xfId="4692"/>
    <cellStyle name="20 % - Accent6 40 3 3" xfId="4693"/>
    <cellStyle name="20 % - Accent6 40 4" xfId="4694"/>
    <cellStyle name="20 % - Accent6 40 5" xfId="4695"/>
    <cellStyle name="20 % - Accent6 41" xfId="4696"/>
    <cellStyle name="20 % - Accent6 41 2" xfId="4697"/>
    <cellStyle name="20 % - Accent6 41 2 2" xfId="4698"/>
    <cellStyle name="20 % - Accent6 41 2 3" xfId="4699"/>
    <cellStyle name="20 % - Accent6 41 3" xfId="4700"/>
    <cellStyle name="20 % - Accent6 41 3 2" xfId="4701"/>
    <cellStyle name="20 % - Accent6 41 3 3" xfId="4702"/>
    <cellStyle name="20 % - Accent6 41 4" xfId="4703"/>
    <cellStyle name="20 % - Accent6 41 5" xfId="4704"/>
    <cellStyle name="20 % - Accent6 42" xfId="4705"/>
    <cellStyle name="20 % - Accent6 42 2" xfId="4706"/>
    <cellStyle name="20 % - Accent6 42 2 2" xfId="4707"/>
    <cellStyle name="20 % - Accent6 42 2 3" xfId="4708"/>
    <cellStyle name="20 % - Accent6 42 3" xfId="4709"/>
    <cellStyle name="20 % - Accent6 42 3 2" xfId="4710"/>
    <cellStyle name="20 % - Accent6 42 3 3" xfId="4711"/>
    <cellStyle name="20 % - Accent6 42 4" xfId="4712"/>
    <cellStyle name="20 % - Accent6 42 5" xfId="4713"/>
    <cellStyle name="20 % - Accent6 43" xfId="4714"/>
    <cellStyle name="20 % - Accent6 43 2" xfId="4715"/>
    <cellStyle name="20 % - Accent6 43 2 2" xfId="4716"/>
    <cellStyle name="20 % - Accent6 43 2 3" xfId="4717"/>
    <cellStyle name="20 % - Accent6 43 3" xfId="4718"/>
    <cellStyle name="20 % - Accent6 43 3 2" xfId="4719"/>
    <cellStyle name="20 % - Accent6 43 3 3" xfId="4720"/>
    <cellStyle name="20 % - Accent6 43 4" xfId="4721"/>
    <cellStyle name="20 % - Accent6 43 5" xfId="4722"/>
    <cellStyle name="20 % - Accent6 44" xfId="4723"/>
    <cellStyle name="20 % - Accent6 44 2" xfId="4724"/>
    <cellStyle name="20 % - Accent6 44 2 2" xfId="4725"/>
    <cellStyle name="20 % - Accent6 44 2 3" xfId="4726"/>
    <cellStyle name="20 % - Accent6 44 3" xfId="4727"/>
    <cellStyle name="20 % - Accent6 44 3 2" xfId="4728"/>
    <cellStyle name="20 % - Accent6 44 3 3" xfId="4729"/>
    <cellStyle name="20 % - Accent6 44 4" xfId="4730"/>
    <cellStyle name="20 % - Accent6 44 5" xfId="4731"/>
    <cellStyle name="20 % - Accent6 45" xfId="4732"/>
    <cellStyle name="20 % - Accent6 45 2" xfId="4733"/>
    <cellStyle name="20 % - Accent6 45 2 2" xfId="4734"/>
    <cellStyle name="20 % - Accent6 45 2 3" xfId="4735"/>
    <cellStyle name="20 % - Accent6 45 3" xfId="4736"/>
    <cellStyle name="20 % - Accent6 45 3 2" xfId="4737"/>
    <cellStyle name="20 % - Accent6 45 3 3" xfId="4738"/>
    <cellStyle name="20 % - Accent6 45 4" xfId="4739"/>
    <cellStyle name="20 % - Accent6 45 5" xfId="4740"/>
    <cellStyle name="20 % - Accent6 46" xfId="4741"/>
    <cellStyle name="20 % - Accent6 46 2" xfId="4742"/>
    <cellStyle name="20 % - Accent6 46 2 2" xfId="4743"/>
    <cellStyle name="20 % - Accent6 46 2 3" xfId="4744"/>
    <cellStyle name="20 % - Accent6 46 3" xfId="4745"/>
    <cellStyle name="20 % - Accent6 46 3 2" xfId="4746"/>
    <cellStyle name="20 % - Accent6 46 3 3" xfId="4747"/>
    <cellStyle name="20 % - Accent6 46 4" xfId="4748"/>
    <cellStyle name="20 % - Accent6 46 5" xfId="4749"/>
    <cellStyle name="20 % - Accent6 47" xfId="4750"/>
    <cellStyle name="20 % - Accent6 47 2" xfId="4751"/>
    <cellStyle name="20 % - Accent6 47 2 2" xfId="4752"/>
    <cellStyle name="20 % - Accent6 47 2 3" xfId="4753"/>
    <cellStyle name="20 % - Accent6 47 3" xfId="4754"/>
    <cellStyle name="20 % - Accent6 47 3 2" xfId="4755"/>
    <cellStyle name="20 % - Accent6 47 3 3" xfId="4756"/>
    <cellStyle name="20 % - Accent6 47 4" xfId="4757"/>
    <cellStyle name="20 % - Accent6 47 5" xfId="4758"/>
    <cellStyle name="20 % - Accent6 48" xfId="4759"/>
    <cellStyle name="20 % - Accent6 48 2" xfId="4760"/>
    <cellStyle name="20 % - Accent6 48 2 2" xfId="4761"/>
    <cellStyle name="20 % - Accent6 48 2 3" xfId="4762"/>
    <cellStyle name="20 % - Accent6 48 3" xfId="4763"/>
    <cellStyle name="20 % - Accent6 48 3 2" xfId="4764"/>
    <cellStyle name="20 % - Accent6 48 3 3" xfId="4765"/>
    <cellStyle name="20 % - Accent6 48 4" xfId="4766"/>
    <cellStyle name="20 % - Accent6 48 5" xfId="4767"/>
    <cellStyle name="20 % - Accent6 49" xfId="4768"/>
    <cellStyle name="20 % - Accent6 49 2" xfId="4769"/>
    <cellStyle name="20 % - Accent6 49 2 2" xfId="4770"/>
    <cellStyle name="20 % - Accent6 49 2 3" xfId="4771"/>
    <cellStyle name="20 % - Accent6 49 3" xfId="4772"/>
    <cellStyle name="20 % - Accent6 49 3 2" xfId="4773"/>
    <cellStyle name="20 % - Accent6 49 3 3" xfId="4774"/>
    <cellStyle name="20 % - Accent6 49 4" xfId="4775"/>
    <cellStyle name="20 % - Accent6 49 5" xfId="4776"/>
    <cellStyle name="20 % - Accent6 5" xfId="461"/>
    <cellStyle name="20 % - Accent6 5 2" xfId="462"/>
    <cellStyle name="20 % - Accent6 5 2 2" xfId="463"/>
    <cellStyle name="20 % - Accent6 5 2 3" xfId="4777"/>
    <cellStyle name="20 % - Accent6 5 3" xfId="464"/>
    <cellStyle name="20 % - Accent6 5 3 2" xfId="4778"/>
    <cellStyle name="20 % - Accent6 5 3 3" xfId="4779"/>
    <cellStyle name="20 % - Accent6 5 4" xfId="4780"/>
    <cellStyle name="20 % - Accent6 5 5" xfId="4781"/>
    <cellStyle name="20 % - Accent6 50" xfId="4782"/>
    <cellStyle name="20 % - Accent6 50 2" xfId="4783"/>
    <cellStyle name="20 % - Accent6 50 2 2" xfId="4784"/>
    <cellStyle name="20 % - Accent6 50 2 3" xfId="4785"/>
    <cellStyle name="20 % - Accent6 50 3" xfId="4786"/>
    <cellStyle name="20 % - Accent6 50 3 2" xfId="4787"/>
    <cellStyle name="20 % - Accent6 50 3 3" xfId="4788"/>
    <cellStyle name="20 % - Accent6 50 4" xfId="4789"/>
    <cellStyle name="20 % - Accent6 50 5" xfId="4790"/>
    <cellStyle name="20 % - Accent6 51" xfId="4791"/>
    <cellStyle name="20 % - Accent6 51 2" xfId="4792"/>
    <cellStyle name="20 % - Accent6 51 2 2" xfId="4793"/>
    <cellStyle name="20 % - Accent6 51 2 3" xfId="4794"/>
    <cellStyle name="20 % - Accent6 51 3" xfId="4795"/>
    <cellStyle name="20 % - Accent6 51 3 2" xfId="4796"/>
    <cellStyle name="20 % - Accent6 51 3 3" xfId="4797"/>
    <cellStyle name="20 % - Accent6 51 4" xfId="4798"/>
    <cellStyle name="20 % - Accent6 51 5" xfId="4799"/>
    <cellStyle name="20 % - Accent6 52" xfId="4800"/>
    <cellStyle name="20 % - Accent6 52 2" xfId="4801"/>
    <cellStyle name="20 % - Accent6 52 2 2" xfId="4802"/>
    <cellStyle name="20 % - Accent6 52 2 3" xfId="4803"/>
    <cellStyle name="20 % - Accent6 52 3" xfId="4804"/>
    <cellStyle name="20 % - Accent6 52 3 2" xfId="4805"/>
    <cellStyle name="20 % - Accent6 52 3 3" xfId="4806"/>
    <cellStyle name="20 % - Accent6 52 4" xfId="4807"/>
    <cellStyle name="20 % - Accent6 52 5" xfId="4808"/>
    <cellStyle name="20 % - Accent6 53" xfId="4809"/>
    <cellStyle name="20 % - Accent6 53 2" xfId="4810"/>
    <cellStyle name="20 % - Accent6 53 2 2" xfId="4811"/>
    <cellStyle name="20 % - Accent6 53 2 3" xfId="4812"/>
    <cellStyle name="20 % - Accent6 53 3" xfId="4813"/>
    <cellStyle name="20 % - Accent6 53 3 2" xfId="4814"/>
    <cellStyle name="20 % - Accent6 53 3 3" xfId="4815"/>
    <cellStyle name="20 % - Accent6 53 4" xfId="4816"/>
    <cellStyle name="20 % - Accent6 53 5" xfId="4817"/>
    <cellStyle name="20 % - Accent6 54" xfId="4818"/>
    <cellStyle name="20 % - Accent6 54 2" xfId="4819"/>
    <cellStyle name="20 % - Accent6 54 2 2" xfId="4820"/>
    <cellStyle name="20 % - Accent6 54 2 3" xfId="4821"/>
    <cellStyle name="20 % - Accent6 54 3" xfId="4822"/>
    <cellStyle name="20 % - Accent6 54 3 2" xfId="4823"/>
    <cellStyle name="20 % - Accent6 54 3 3" xfId="4824"/>
    <cellStyle name="20 % - Accent6 54 4" xfId="4825"/>
    <cellStyle name="20 % - Accent6 54 5" xfId="4826"/>
    <cellStyle name="20 % - Accent6 55" xfId="4827"/>
    <cellStyle name="20 % - Accent6 55 2" xfId="4828"/>
    <cellStyle name="20 % - Accent6 55 2 2" xfId="4829"/>
    <cellStyle name="20 % - Accent6 55 2 3" xfId="4830"/>
    <cellStyle name="20 % - Accent6 55 3" xfId="4831"/>
    <cellStyle name="20 % - Accent6 55 3 2" xfId="4832"/>
    <cellStyle name="20 % - Accent6 55 3 3" xfId="4833"/>
    <cellStyle name="20 % - Accent6 55 4" xfId="4834"/>
    <cellStyle name="20 % - Accent6 55 5" xfId="4835"/>
    <cellStyle name="20 % - Accent6 56" xfId="4836"/>
    <cellStyle name="20 % - Accent6 56 2" xfId="4837"/>
    <cellStyle name="20 % - Accent6 56 2 2" xfId="4838"/>
    <cellStyle name="20 % - Accent6 56 2 3" xfId="4839"/>
    <cellStyle name="20 % - Accent6 56 3" xfId="4840"/>
    <cellStyle name="20 % - Accent6 56 3 2" xfId="4841"/>
    <cellStyle name="20 % - Accent6 56 3 3" xfId="4842"/>
    <cellStyle name="20 % - Accent6 56 4" xfId="4843"/>
    <cellStyle name="20 % - Accent6 56 5" xfId="4844"/>
    <cellStyle name="20 % - Accent6 57" xfId="4845"/>
    <cellStyle name="20 % - Accent6 57 2" xfId="4846"/>
    <cellStyle name="20 % - Accent6 57 2 2" xfId="4847"/>
    <cellStyle name="20 % - Accent6 57 2 3" xfId="4848"/>
    <cellStyle name="20 % - Accent6 57 3" xfId="4849"/>
    <cellStyle name="20 % - Accent6 57 3 2" xfId="4850"/>
    <cellStyle name="20 % - Accent6 57 3 3" xfId="4851"/>
    <cellStyle name="20 % - Accent6 57 4" xfId="4852"/>
    <cellStyle name="20 % - Accent6 57 5" xfId="4853"/>
    <cellStyle name="20 % - Accent6 58" xfId="4854"/>
    <cellStyle name="20 % - Accent6 58 2" xfId="4855"/>
    <cellStyle name="20 % - Accent6 58 2 2" xfId="4856"/>
    <cellStyle name="20 % - Accent6 58 2 3" xfId="4857"/>
    <cellStyle name="20 % - Accent6 58 3" xfId="4858"/>
    <cellStyle name="20 % - Accent6 58 3 2" xfId="4859"/>
    <cellStyle name="20 % - Accent6 58 3 3" xfId="4860"/>
    <cellStyle name="20 % - Accent6 58 4" xfId="4861"/>
    <cellStyle name="20 % - Accent6 58 5" xfId="4862"/>
    <cellStyle name="20 % - Accent6 59" xfId="4863"/>
    <cellStyle name="20 % - Accent6 59 2" xfId="4864"/>
    <cellStyle name="20 % - Accent6 59 2 2" xfId="4865"/>
    <cellStyle name="20 % - Accent6 59 2 3" xfId="4866"/>
    <cellStyle name="20 % - Accent6 59 3" xfId="4867"/>
    <cellStyle name="20 % - Accent6 59 3 2" xfId="4868"/>
    <cellStyle name="20 % - Accent6 59 3 3" xfId="4869"/>
    <cellStyle name="20 % - Accent6 59 4" xfId="4870"/>
    <cellStyle name="20 % - Accent6 59 5" xfId="4871"/>
    <cellStyle name="20 % - Accent6 6" xfId="465"/>
    <cellStyle name="20 % - Accent6 6 2" xfId="466"/>
    <cellStyle name="20 % - Accent6 6 2 2" xfId="467"/>
    <cellStyle name="20 % - Accent6 6 2 3" xfId="4872"/>
    <cellStyle name="20 % - Accent6 6 3" xfId="468"/>
    <cellStyle name="20 % - Accent6 6 3 2" xfId="4873"/>
    <cellStyle name="20 % - Accent6 6 3 3" xfId="4874"/>
    <cellStyle name="20 % - Accent6 6 4" xfId="4875"/>
    <cellStyle name="20 % - Accent6 6 5" xfId="4876"/>
    <cellStyle name="20 % - Accent6 60" xfId="4877"/>
    <cellStyle name="20 % - Accent6 60 2" xfId="4878"/>
    <cellStyle name="20 % - Accent6 60 2 2" xfId="4879"/>
    <cellStyle name="20 % - Accent6 60 2 3" xfId="4880"/>
    <cellStyle name="20 % - Accent6 60 3" xfId="4881"/>
    <cellStyle name="20 % - Accent6 60 3 2" xfId="4882"/>
    <cellStyle name="20 % - Accent6 60 3 3" xfId="4883"/>
    <cellStyle name="20 % - Accent6 60 4" xfId="4884"/>
    <cellStyle name="20 % - Accent6 60 5" xfId="4885"/>
    <cellStyle name="20 % - Accent6 61" xfId="4886"/>
    <cellStyle name="20 % - Accent6 61 2" xfId="4887"/>
    <cellStyle name="20 % - Accent6 61 2 2" xfId="4888"/>
    <cellStyle name="20 % - Accent6 61 2 3" xfId="4889"/>
    <cellStyle name="20 % - Accent6 61 3" xfId="4890"/>
    <cellStyle name="20 % - Accent6 61 3 2" xfId="4891"/>
    <cellStyle name="20 % - Accent6 61 3 3" xfId="4892"/>
    <cellStyle name="20 % - Accent6 61 4" xfId="4893"/>
    <cellStyle name="20 % - Accent6 61 5" xfId="4894"/>
    <cellStyle name="20 % - Accent6 62" xfId="4895"/>
    <cellStyle name="20 % - Accent6 62 2" xfId="4896"/>
    <cellStyle name="20 % - Accent6 62 2 2" xfId="4897"/>
    <cellStyle name="20 % - Accent6 62 2 3" xfId="4898"/>
    <cellStyle name="20 % - Accent6 62 3" xfId="4899"/>
    <cellStyle name="20 % - Accent6 62 3 2" xfId="4900"/>
    <cellStyle name="20 % - Accent6 62 3 3" xfId="4901"/>
    <cellStyle name="20 % - Accent6 62 4" xfId="4902"/>
    <cellStyle name="20 % - Accent6 62 5" xfId="4903"/>
    <cellStyle name="20 % - Accent6 63" xfId="4904"/>
    <cellStyle name="20 % - Accent6 63 2" xfId="4905"/>
    <cellStyle name="20 % - Accent6 63 2 2" xfId="4906"/>
    <cellStyle name="20 % - Accent6 63 2 3" xfId="4907"/>
    <cellStyle name="20 % - Accent6 63 3" xfId="4908"/>
    <cellStyle name="20 % - Accent6 63 3 2" xfId="4909"/>
    <cellStyle name="20 % - Accent6 63 3 3" xfId="4910"/>
    <cellStyle name="20 % - Accent6 63 4" xfId="4911"/>
    <cellStyle name="20 % - Accent6 63 5" xfId="4912"/>
    <cellStyle name="20 % - Accent6 64" xfId="4913"/>
    <cellStyle name="20 % - Accent6 64 2" xfId="4914"/>
    <cellStyle name="20 % - Accent6 64 2 2" xfId="4915"/>
    <cellStyle name="20 % - Accent6 64 2 3" xfId="4916"/>
    <cellStyle name="20 % - Accent6 64 3" xfId="4917"/>
    <cellStyle name="20 % - Accent6 64 3 2" xfId="4918"/>
    <cellStyle name="20 % - Accent6 64 3 3" xfId="4919"/>
    <cellStyle name="20 % - Accent6 64 4" xfId="4920"/>
    <cellStyle name="20 % - Accent6 64 5" xfId="4921"/>
    <cellStyle name="20 % - Accent6 65" xfId="4922"/>
    <cellStyle name="20 % - Accent6 65 2" xfId="4923"/>
    <cellStyle name="20 % - Accent6 65 2 2" xfId="4924"/>
    <cellStyle name="20 % - Accent6 65 2 3" xfId="4925"/>
    <cellStyle name="20 % - Accent6 65 3" xfId="4926"/>
    <cellStyle name="20 % - Accent6 65 3 2" xfId="4927"/>
    <cellStyle name="20 % - Accent6 65 3 3" xfId="4928"/>
    <cellStyle name="20 % - Accent6 65 4" xfId="4929"/>
    <cellStyle name="20 % - Accent6 65 5" xfId="4930"/>
    <cellStyle name="20 % - Accent6 66" xfId="4931"/>
    <cellStyle name="20 % - Accent6 66 2" xfId="4932"/>
    <cellStyle name="20 % - Accent6 66 2 2" xfId="4933"/>
    <cellStyle name="20 % - Accent6 66 2 3" xfId="4934"/>
    <cellStyle name="20 % - Accent6 66 3" xfId="4935"/>
    <cellStyle name="20 % - Accent6 66 3 2" xfId="4936"/>
    <cellStyle name="20 % - Accent6 66 3 3" xfId="4937"/>
    <cellStyle name="20 % - Accent6 66 4" xfId="4938"/>
    <cellStyle name="20 % - Accent6 66 5" xfId="4939"/>
    <cellStyle name="20 % - Accent6 67" xfId="4940"/>
    <cellStyle name="20 % - Accent6 67 2" xfId="4941"/>
    <cellStyle name="20 % - Accent6 67 2 2" xfId="4942"/>
    <cellStyle name="20 % - Accent6 67 2 3" xfId="4943"/>
    <cellStyle name="20 % - Accent6 67 3" xfId="4944"/>
    <cellStyle name="20 % - Accent6 67 3 2" xfId="4945"/>
    <cellStyle name="20 % - Accent6 67 3 3" xfId="4946"/>
    <cellStyle name="20 % - Accent6 67 4" xfId="4947"/>
    <cellStyle name="20 % - Accent6 67 5" xfId="4948"/>
    <cellStyle name="20 % - Accent6 68" xfId="4949"/>
    <cellStyle name="20 % - Accent6 68 2" xfId="4950"/>
    <cellStyle name="20 % - Accent6 68 2 2" xfId="4951"/>
    <cellStyle name="20 % - Accent6 68 2 3" xfId="4952"/>
    <cellStyle name="20 % - Accent6 68 3" xfId="4953"/>
    <cellStyle name="20 % - Accent6 68 3 2" xfId="4954"/>
    <cellStyle name="20 % - Accent6 68 3 3" xfId="4955"/>
    <cellStyle name="20 % - Accent6 68 4" xfId="4956"/>
    <cellStyle name="20 % - Accent6 68 5" xfId="4957"/>
    <cellStyle name="20 % - Accent6 69" xfId="4958"/>
    <cellStyle name="20 % - Accent6 69 2" xfId="4959"/>
    <cellStyle name="20 % - Accent6 69 2 2" xfId="4960"/>
    <cellStyle name="20 % - Accent6 69 2 3" xfId="4961"/>
    <cellStyle name="20 % - Accent6 69 3" xfId="4962"/>
    <cellStyle name="20 % - Accent6 69 3 2" xfId="4963"/>
    <cellStyle name="20 % - Accent6 69 3 3" xfId="4964"/>
    <cellStyle name="20 % - Accent6 69 4" xfId="4965"/>
    <cellStyle name="20 % - Accent6 69 5" xfId="4966"/>
    <cellStyle name="20 % - Accent6 7" xfId="469"/>
    <cellStyle name="20 % - Accent6 7 2" xfId="470"/>
    <cellStyle name="20 % - Accent6 7 2 2" xfId="471"/>
    <cellStyle name="20 % - Accent6 7 2 3" xfId="4967"/>
    <cellStyle name="20 % - Accent6 7 3" xfId="472"/>
    <cellStyle name="20 % - Accent6 7 3 2" xfId="4968"/>
    <cellStyle name="20 % - Accent6 7 3 3" xfId="4969"/>
    <cellStyle name="20 % - Accent6 7 4" xfId="4970"/>
    <cellStyle name="20 % - Accent6 7 5" xfId="4971"/>
    <cellStyle name="20 % - Accent6 70" xfId="4972"/>
    <cellStyle name="20 % - Accent6 70 2" xfId="4973"/>
    <cellStyle name="20 % - Accent6 70 2 2" xfId="4974"/>
    <cellStyle name="20 % - Accent6 70 2 3" xfId="4975"/>
    <cellStyle name="20 % - Accent6 70 3" xfId="4976"/>
    <cellStyle name="20 % - Accent6 70 3 2" xfId="4977"/>
    <cellStyle name="20 % - Accent6 70 3 3" xfId="4978"/>
    <cellStyle name="20 % - Accent6 70 4" xfId="4979"/>
    <cellStyle name="20 % - Accent6 70 5" xfId="4980"/>
    <cellStyle name="20 % - Accent6 71" xfId="4981"/>
    <cellStyle name="20 % - Accent6 71 2" xfId="4982"/>
    <cellStyle name="20 % - Accent6 71 2 2" xfId="4983"/>
    <cellStyle name="20 % - Accent6 71 2 3" xfId="4984"/>
    <cellStyle name="20 % - Accent6 71 3" xfId="4985"/>
    <cellStyle name="20 % - Accent6 71 3 2" xfId="4986"/>
    <cellStyle name="20 % - Accent6 71 3 3" xfId="4987"/>
    <cellStyle name="20 % - Accent6 71 4" xfId="4988"/>
    <cellStyle name="20 % - Accent6 71 5" xfId="4989"/>
    <cellStyle name="20 % - Accent6 72" xfId="4990"/>
    <cellStyle name="20 % - Accent6 72 2" xfId="4991"/>
    <cellStyle name="20 % - Accent6 72 2 2" xfId="4992"/>
    <cellStyle name="20 % - Accent6 72 2 3" xfId="4993"/>
    <cellStyle name="20 % - Accent6 72 3" xfId="4994"/>
    <cellStyle name="20 % - Accent6 72 3 2" xfId="4995"/>
    <cellStyle name="20 % - Accent6 72 3 3" xfId="4996"/>
    <cellStyle name="20 % - Accent6 72 4" xfId="4997"/>
    <cellStyle name="20 % - Accent6 72 5" xfId="4998"/>
    <cellStyle name="20 % - Accent6 73" xfId="4999"/>
    <cellStyle name="20 % - Accent6 73 2" xfId="5000"/>
    <cellStyle name="20 % - Accent6 73 2 2" xfId="5001"/>
    <cellStyle name="20 % - Accent6 73 2 3" xfId="5002"/>
    <cellStyle name="20 % - Accent6 73 3" xfId="5003"/>
    <cellStyle name="20 % - Accent6 73 3 2" xfId="5004"/>
    <cellStyle name="20 % - Accent6 73 3 3" xfId="5005"/>
    <cellStyle name="20 % - Accent6 73 4" xfId="5006"/>
    <cellStyle name="20 % - Accent6 73 5" xfId="5007"/>
    <cellStyle name="20 % - Accent6 74" xfId="5008"/>
    <cellStyle name="20 % - Accent6 74 2" xfId="5009"/>
    <cellStyle name="20 % - Accent6 74 3" xfId="5010"/>
    <cellStyle name="20 % - Accent6 75" xfId="5011"/>
    <cellStyle name="20 % - Accent6 75 2" xfId="5012"/>
    <cellStyle name="20 % - Accent6 75 3" xfId="5013"/>
    <cellStyle name="20 % - Accent6 76" xfId="5014"/>
    <cellStyle name="20 % - Accent6 76 2" xfId="5015"/>
    <cellStyle name="20 % - Accent6 76 3" xfId="5016"/>
    <cellStyle name="20 % - Accent6 77" xfId="5017"/>
    <cellStyle name="20 % - Accent6 77 2" xfId="5018"/>
    <cellStyle name="20 % - Accent6 77 3" xfId="5019"/>
    <cellStyle name="20 % - Accent6 78" xfId="5020"/>
    <cellStyle name="20 % - Accent6 79" xfId="5021"/>
    <cellStyle name="20 % - Accent6 8" xfId="473"/>
    <cellStyle name="20 % - Accent6 8 2" xfId="474"/>
    <cellStyle name="20 % - Accent6 8 2 2" xfId="475"/>
    <cellStyle name="20 % - Accent6 8 2 3" xfId="5022"/>
    <cellStyle name="20 % - Accent6 8 3" xfId="476"/>
    <cellStyle name="20 % - Accent6 8 3 2" xfId="5023"/>
    <cellStyle name="20 % - Accent6 8 3 3" xfId="5024"/>
    <cellStyle name="20 % - Accent6 8 4" xfId="5025"/>
    <cellStyle name="20 % - Accent6 8 5" xfId="5026"/>
    <cellStyle name="20 % - Accent6 80" xfId="5027"/>
    <cellStyle name="20 % - Accent6 81" xfId="5028"/>
    <cellStyle name="20 % - Accent6 82" xfId="5029"/>
    <cellStyle name="20 % - Accent6 83" xfId="5030"/>
    <cellStyle name="20 % - Accent6 84" xfId="5031"/>
    <cellStyle name="20 % - Accent6 85" xfId="5032"/>
    <cellStyle name="20 % - Accent6 86" xfId="5033"/>
    <cellStyle name="20 % - Accent6 87" xfId="5034"/>
    <cellStyle name="20 % - Accent6 88" xfId="5035"/>
    <cellStyle name="20 % - Accent6 89" xfId="5036"/>
    <cellStyle name="20 % - Accent6 9" xfId="477"/>
    <cellStyle name="20 % - Accent6 9 2" xfId="478"/>
    <cellStyle name="20 % - Accent6 9 2 2" xfId="479"/>
    <cellStyle name="20 % - Accent6 9 2 3" xfId="5037"/>
    <cellStyle name="20 % - Accent6 9 3" xfId="480"/>
    <cellStyle name="20 % - Accent6 9 3 2" xfId="5038"/>
    <cellStyle name="20 % - Accent6 9 3 3" xfId="5039"/>
    <cellStyle name="20 % - Accent6 9 4" xfId="5040"/>
    <cellStyle name="20 % - Accent6 9 5" xfId="5041"/>
    <cellStyle name="20 % - Accent6 90" xfId="5042"/>
    <cellStyle name="20 % - Accent6 91" xfId="5043"/>
    <cellStyle name="20 % - Accent6 92" xfId="5044"/>
    <cellStyle name="20 % - Accent6 93" xfId="5045"/>
    <cellStyle name="20 % - Accent6 94" xfId="5046"/>
    <cellStyle name="20 % - Accent6 95" xfId="5047"/>
    <cellStyle name="20 % - Accent6 96" xfId="5048"/>
    <cellStyle name="20 % - Accent6 97" xfId="5049"/>
    <cellStyle name="20 % - Accent6 98" xfId="5050"/>
    <cellStyle name="20 % - Accent6 99" xfId="5051"/>
    <cellStyle name="40 % - Accent1 10" xfId="481"/>
    <cellStyle name="40 % - Accent1 10 2" xfId="482"/>
    <cellStyle name="40 % - Accent1 10 2 2" xfId="483"/>
    <cellStyle name="40 % - Accent1 10 2 3" xfId="5052"/>
    <cellStyle name="40 % - Accent1 10 3" xfId="484"/>
    <cellStyle name="40 % - Accent1 10 3 2" xfId="5053"/>
    <cellStyle name="40 % - Accent1 10 3 3" xfId="5054"/>
    <cellStyle name="40 % - Accent1 10 4" xfId="5055"/>
    <cellStyle name="40 % - Accent1 10 5" xfId="5056"/>
    <cellStyle name="40 % - Accent1 100" xfId="5057"/>
    <cellStyle name="40 % - Accent1 101" xfId="5058"/>
    <cellStyle name="40 % - Accent1 102" xfId="5059"/>
    <cellStyle name="40 % - Accent1 103" xfId="5060"/>
    <cellStyle name="40 % - Accent1 104" xfId="5061"/>
    <cellStyle name="40 % - Accent1 105" xfId="5062"/>
    <cellStyle name="40 % - Accent1 106" xfId="5063"/>
    <cellStyle name="40 % - Accent1 107" xfId="5064"/>
    <cellStyle name="40 % - Accent1 108" xfId="5065"/>
    <cellStyle name="40 % - Accent1 109" xfId="5066"/>
    <cellStyle name="40 % - Accent1 11" xfId="485"/>
    <cellStyle name="40 % - Accent1 11 2" xfId="486"/>
    <cellStyle name="40 % - Accent1 11 2 2" xfId="487"/>
    <cellStyle name="40 % - Accent1 11 2 3" xfId="5067"/>
    <cellStyle name="40 % - Accent1 11 3" xfId="488"/>
    <cellStyle name="40 % - Accent1 11 3 2" xfId="5068"/>
    <cellStyle name="40 % - Accent1 11 3 3" xfId="5069"/>
    <cellStyle name="40 % - Accent1 11 4" xfId="5070"/>
    <cellStyle name="40 % - Accent1 11 5" xfId="5071"/>
    <cellStyle name="40 % - Accent1 110" xfId="5072"/>
    <cellStyle name="40 % - Accent1 111" xfId="5073"/>
    <cellStyle name="40 % - Accent1 112" xfId="5074"/>
    <cellStyle name="40 % - Accent1 113" xfId="5075"/>
    <cellStyle name="40 % - Accent1 114" xfId="5076"/>
    <cellStyle name="40 % - Accent1 115" xfId="5077"/>
    <cellStyle name="40 % - Accent1 116" xfId="5078"/>
    <cellStyle name="40 % - Accent1 117" xfId="5079"/>
    <cellStyle name="40 % - Accent1 118" xfId="5080"/>
    <cellStyle name="40 % - Accent1 119" xfId="5081"/>
    <cellStyle name="40 % - Accent1 12" xfId="489"/>
    <cellStyle name="40 % - Accent1 12 2" xfId="490"/>
    <cellStyle name="40 % - Accent1 12 2 2" xfId="491"/>
    <cellStyle name="40 % - Accent1 12 2 3" xfId="5082"/>
    <cellStyle name="40 % - Accent1 12 3" xfId="492"/>
    <cellStyle name="40 % - Accent1 12 3 2" xfId="5083"/>
    <cellStyle name="40 % - Accent1 12 3 3" xfId="5084"/>
    <cellStyle name="40 % - Accent1 12 4" xfId="5085"/>
    <cellStyle name="40 % - Accent1 12 5" xfId="5086"/>
    <cellStyle name="40 % - Accent1 120" xfId="5087"/>
    <cellStyle name="40 % - Accent1 121" xfId="5088"/>
    <cellStyle name="40 % - Accent1 122" xfId="5089"/>
    <cellStyle name="40 % - Accent1 123" xfId="5090"/>
    <cellStyle name="40 % - Accent1 124" xfId="5091"/>
    <cellStyle name="40 % - Accent1 125" xfId="5092"/>
    <cellStyle name="40 % - Accent1 126" xfId="5093"/>
    <cellStyle name="40 % - Accent1 127" xfId="5094"/>
    <cellStyle name="40 % - Accent1 128" xfId="5095"/>
    <cellStyle name="40 % - Accent1 129" xfId="5096"/>
    <cellStyle name="40 % - Accent1 13" xfId="493"/>
    <cellStyle name="40 % - Accent1 13 2" xfId="494"/>
    <cellStyle name="40 % - Accent1 13 2 2" xfId="495"/>
    <cellStyle name="40 % - Accent1 13 2 3" xfId="5097"/>
    <cellStyle name="40 % - Accent1 13 3" xfId="496"/>
    <cellStyle name="40 % - Accent1 13 3 2" xfId="5098"/>
    <cellStyle name="40 % - Accent1 13 3 3" xfId="5099"/>
    <cellStyle name="40 % - Accent1 13 4" xfId="5100"/>
    <cellStyle name="40 % - Accent1 13 5" xfId="5101"/>
    <cellStyle name="40 % - Accent1 130" xfId="5102"/>
    <cellStyle name="40 % - Accent1 131" xfId="5103"/>
    <cellStyle name="40 % - Accent1 132" xfId="5104"/>
    <cellStyle name="40 % - Accent1 133" xfId="5105"/>
    <cellStyle name="40 % - Accent1 134" xfId="5106"/>
    <cellStyle name="40 % - Accent1 135" xfId="5107"/>
    <cellStyle name="40 % - Accent1 136" xfId="5108"/>
    <cellStyle name="40 % - Accent1 137" xfId="5109"/>
    <cellStyle name="40 % - Accent1 138" xfId="5110"/>
    <cellStyle name="40 % - Accent1 139" xfId="5111"/>
    <cellStyle name="40 % - Accent1 14" xfId="497"/>
    <cellStyle name="40 % - Accent1 14 2" xfId="498"/>
    <cellStyle name="40 % - Accent1 14 2 2" xfId="499"/>
    <cellStyle name="40 % - Accent1 14 2 3" xfId="5112"/>
    <cellStyle name="40 % - Accent1 14 3" xfId="500"/>
    <cellStyle name="40 % - Accent1 14 3 2" xfId="5113"/>
    <cellStyle name="40 % - Accent1 14 3 3" xfId="5114"/>
    <cellStyle name="40 % - Accent1 14 4" xfId="5115"/>
    <cellStyle name="40 % - Accent1 14 5" xfId="5116"/>
    <cellStyle name="40 % - Accent1 140" xfId="5117"/>
    <cellStyle name="40 % - Accent1 15" xfId="501"/>
    <cellStyle name="40 % - Accent1 15 2" xfId="502"/>
    <cellStyle name="40 % - Accent1 15 2 2" xfId="503"/>
    <cellStyle name="40 % - Accent1 15 2 3" xfId="5118"/>
    <cellStyle name="40 % - Accent1 15 3" xfId="504"/>
    <cellStyle name="40 % - Accent1 15 3 2" xfId="5119"/>
    <cellStyle name="40 % - Accent1 15 3 3" xfId="5120"/>
    <cellStyle name="40 % - Accent1 15 4" xfId="5121"/>
    <cellStyle name="40 % - Accent1 15 5" xfId="5122"/>
    <cellStyle name="40 % - Accent1 16" xfId="505"/>
    <cellStyle name="40 % - Accent1 16 2" xfId="506"/>
    <cellStyle name="40 % - Accent1 16 2 2" xfId="507"/>
    <cellStyle name="40 % - Accent1 16 2 3" xfId="5123"/>
    <cellStyle name="40 % - Accent1 16 3" xfId="508"/>
    <cellStyle name="40 % - Accent1 16 3 2" xfId="5124"/>
    <cellStyle name="40 % - Accent1 16 3 3" xfId="5125"/>
    <cellStyle name="40 % - Accent1 16 4" xfId="5126"/>
    <cellStyle name="40 % - Accent1 16 5" xfId="5127"/>
    <cellStyle name="40 % - Accent1 17" xfId="509"/>
    <cellStyle name="40 % - Accent1 17 2" xfId="510"/>
    <cellStyle name="40 % - Accent1 17 2 2" xfId="511"/>
    <cellStyle name="40 % - Accent1 17 2 3" xfId="5128"/>
    <cellStyle name="40 % - Accent1 17 3" xfId="512"/>
    <cellStyle name="40 % - Accent1 17 3 2" xfId="5129"/>
    <cellStyle name="40 % - Accent1 17 3 3" xfId="5130"/>
    <cellStyle name="40 % - Accent1 17 4" xfId="5131"/>
    <cellStyle name="40 % - Accent1 17 5" xfId="5132"/>
    <cellStyle name="40 % - Accent1 18" xfId="513"/>
    <cellStyle name="40 % - Accent1 18 2" xfId="514"/>
    <cellStyle name="40 % - Accent1 18 2 2" xfId="515"/>
    <cellStyle name="40 % - Accent1 18 2 3" xfId="5133"/>
    <cellStyle name="40 % - Accent1 18 3" xfId="516"/>
    <cellStyle name="40 % - Accent1 18 3 2" xfId="5134"/>
    <cellStyle name="40 % - Accent1 18 3 3" xfId="5135"/>
    <cellStyle name="40 % - Accent1 18 4" xfId="5136"/>
    <cellStyle name="40 % - Accent1 18 5" xfId="5137"/>
    <cellStyle name="40 % - Accent1 19" xfId="5138"/>
    <cellStyle name="40 % - Accent1 19 2" xfId="5139"/>
    <cellStyle name="40 % - Accent1 19 2 2" xfId="5140"/>
    <cellStyle name="40 % - Accent1 19 2 3" xfId="5141"/>
    <cellStyle name="40 % - Accent1 19 3" xfId="5142"/>
    <cellStyle name="40 % - Accent1 19 3 2" xfId="5143"/>
    <cellStyle name="40 % - Accent1 19 3 3" xfId="5144"/>
    <cellStyle name="40 % - Accent1 19 4" xfId="5145"/>
    <cellStyle name="40 % - Accent1 19 5" xfId="5146"/>
    <cellStyle name="40 % - Accent1 2" xfId="517"/>
    <cellStyle name="40 % - Accent1 2 2" xfId="518"/>
    <cellStyle name="40 % - Accent1 2 2 2" xfId="519"/>
    <cellStyle name="40 % - Accent1 2 2 3" xfId="5147"/>
    <cellStyle name="40 % - Accent1 2 3" xfId="520"/>
    <cellStyle name="40 % - Accent1 2 3 2" xfId="5148"/>
    <cellStyle name="40 % - Accent1 2 3 3" xfId="5149"/>
    <cellStyle name="40 % - Accent1 2 4" xfId="5150"/>
    <cellStyle name="40 % - Accent1 2 5" xfId="5151"/>
    <cellStyle name="40 % - Accent1 20" xfId="5152"/>
    <cellStyle name="40 % - Accent1 20 2" xfId="5153"/>
    <cellStyle name="40 % - Accent1 20 2 2" xfId="5154"/>
    <cellStyle name="40 % - Accent1 20 2 3" xfId="5155"/>
    <cellStyle name="40 % - Accent1 20 3" xfId="5156"/>
    <cellStyle name="40 % - Accent1 20 3 2" xfId="5157"/>
    <cellStyle name="40 % - Accent1 20 3 3" xfId="5158"/>
    <cellStyle name="40 % - Accent1 20 4" xfId="5159"/>
    <cellStyle name="40 % - Accent1 20 5" xfId="5160"/>
    <cellStyle name="40 % - Accent1 21" xfId="5161"/>
    <cellStyle name="40 % - Accent1 21 2" xfId="5162"/>
    <cellStyle name="40 % - Accent1 21 2 2" xfId="5163"/>
    <cellStyle name="40 % - Accent1 21 2 3" xfId="5164"/>
    <cellStyle name="40 % - Accent1 21 3" xfId="5165"/>
    <cellStyle name="40 % - Accent1 21 3 2" xfId="5166"/>
    <cellStyle name="40 % - Accent1 21 3 3" xfId="5167"/>
    <cellStyle name="40 % - Accent1 21 4" xfId="5168"/>
    <cellStyle name="40 % - Accent1 21 5" xfId="5169"/>
    <cellStyle name="40 % - Accent1 22" xfId="5170"/>
    <cellStyle name="40 % - Accent1 22 2" xfId="5171"/>
    <cellStyle name="40 % - Accent1 22 2 2" xfId="5172"/>
    <cellStyle name="40 % - Accent1 22 2 3" xfId="5173"/>
    <cellStyle name="40 % - Accent1 22 3" xfId="5174"/>
    <cellStyle name="40 % - Accent1 22 3 2" xfId="5175"/>
    <cellStyle name="40 % - Accent1 22 3 3" xfId="5176"/>
    <cellStyle name="40 % - Accent1 22 4" xfId="5177"/>
    <cellStyle name="40 % - Accent1 22 5" xfId="5178"/>
    <cellStyle name="40 % - Accent1 23" xfId="5179"/>
    <cellStyle name="40 % - Accent1 23 2" xfId="5180"/>
    <cellStyle name="40 % - Accent1 23 2 2" xfId="5181"/>
    <cellStyle name="40 % - Accent1 23 2 3" xfId="5182"/>
    <cellStyle name="40 % - Accent1 23 3" xfId="5183"/>
    <cellStyle name="40 % - Accent1 23 3 2" xfId="5184"/>
    <cellStyle name="40 % - Accent1 23 3 3" xfId="5185"/>
    <cellStyle name="40 % - Accent1 23 4" xfId="5186"/>
    <cellStyle name="40 % - Accent1 23 5" xfId="5187"/>
    <cellStyle name="40 % - Accent1 24" xfId="5188"/>
    <cellStyle name="40 % - Accent1 24 2" xfId="5189"/>
    <cellStyle name="40 % - Accent1 24 2 2" xfId="5190"/>
    <cellStyle name="40 % - Accent1 24 2 3" xfId="5191"/>
    <cellStyle name="40 % - Accent1 24 3" xfId="5192"/>
    <cellStyle name="40 % - Accent1 24 3 2" xfId="5193"/>
    <cellStyle name="40 % - Accent1 24 3 3" xfId="5194"/>
    <cellStyle name="40 % - Accent1 24 4" xfId="5195"/>
    <cellStyle name="40 % - Accent1 24 5" xfId="5196"/>
    <cellStyle name="40 % - Accent1 25" xfId="5197"/>
    <cellStyle name="40 % - Accent1 25 2" xfId="5198"/>
    <cellStyle name="40 % - Accent1 25 2 2" xfId="5199"/>
    <cellStyle name="40 % - Accent1 25 2 3" xfId="5200"/>
    <cellStyle name="40 % - Accent1 25 3" xfId="5201"/>
    <cellStyle name="40 % - Accent1 25 3 2" xfId="5202"/>
    <cellStyle name="40 % - Accent1 25 3 3" xfId="5203"/>
    <cellStyle name="40 % - Accent1 25 4" xfId="5204"/>
    <cellStyle name="40 % - Accent1 25 5" xfId="5205"/>
    <cellStyle name="40 % - Accent1 26" xfId="5206"/>
    <cellStyle name="40 % - Accent1 26 2" xfId="5207"/>
    <cellStyle name="40 % - Accent1 26 2 2" xfId="5208"/>
    <cellStyle name="40 % - Accent1 26 2 3" xfId="5209"/>
    <cellStyle name="40 % - Accent1 26 3" xfId="5210"/>
    <cellStyle name="40 % - Accent1 26 3 2" xfId="5211"/>
    <cellStyle name="40 % - Accent1 26 3 3" xfId="5212"/>
    <cellStyle name="40 % - Accent1 26 4" xfId="5213"/>
    <cellStyle name="40 % - Accent1 26 5" xfId="5214"/>
    <cellStyle name="40 % - Accent1 27" xfId="5215"/>
    <cellStyle name="40 % - Accent1 27 2" xfId="5216"/>
    <cellStyle name="40 % - Accent1 27 2 2" xfId="5217"/>
    <cellStyle name="40 % - Accent1 27 2 3" xfId="5218"/>
    <cellStyle name="40 % - Accent1 27 3" xfId="5219"/>
    <cellStyle name="40 % - Accent1 27 3 2" xfId="5220"/>
    <cellStyle name="40 % - Accent1 27 3 3" xfId="5221"/>
    <cellStyle name="40 % - Accent1 27 4" xfId="5222"/>
    <cellStyle name="40 % - Accent1 27 5" xfId="5223"/>
    <cellStyle name="40 % - Accent1 28" xfId="5224"/>
    <cellStyle name="40 % - Accent1 28 2" xfId="5225"/>
    <cellStyle name="40 % - Accent1 28 2 2" xfId="5226"/>
    <cellStyle name="40 % - Accent1 28 2 3" xfId="5227"/>
    <cellStyle name="40 % - Accent1 28 3" xfId="5228"/>
    <cellStyle name="40 % - Accent1 28 3 2" xfId="5229"/>
    <cellStyle name="40 % - Accent1 28 3 3" xfId="5230"/>
    <cellStyle name="40 % - Accent1 28 4" xfId="5231"/>
    <cellStyle name="40 % - Accent1 28 5" xfId="5232"/>
    <cellStyle name="40 % - Accent1 29" xfId="5233"/>
    <cellStyle name="40 % - Accent1 29 2" xfId="5234"/>
    <cellStyle name="40 % - Accent1 29 2 2" xfId="5235"/>
    <cellStyle name="40 % - Accent1 29 2 3" xfId="5236"/>
    <cellStyle name="40 % - Accent1 29 3" xfId="5237"/>
    <cellStyle name="40 % - Accent1 29 3 2" xfId="5238"/>
    <cellStyle name="40 % - Accent1 29 3 3" xfId="5239"/>
    <cellStyle name="40 % - Accent1 29 4" xfId="5240"/>
    <cellStyle name="40 % - Accent1 29 5" xfId="5241"/>
    <cellStyle name="40 % - Accent1 3" xfId="521"/>
    <cellStyle name="40 % - Accent1 3 2" xfId="522"/>
    <cellStyle name="40 % - Accent1 3 2 2" xfId="523"/>
    <cellStyle name="40 % - Accent1 3 2 3" xfId="5242"/>
    <cellStyle name="40 % - Accent1 3 3" xfId="524"/>
    <cellStyle name="40 % - Accent1 3 3 2" xfId="5243"/>
    <cellStyle name="40 % - Accent1 3 3 3" xfId="5244"/>
    <cellStyle name="40 % - Accent1 3 4" xfId="5245"/>
    <cellStyle name="40 % - Accent1 3 5" xfId="5246"/>
    <cellStyle name="40 % - Accent1 30" xfId="5247"/>
    <cellStyle name="40 % - Accent1 30 2" xfId="5248"/>
    <cellStyle name="40 % - Accent1 30 2 2" xfId="5249"/>
    <cellStyle name="40 % - Accent1 30 2 3" xfId="5250"/>
    <cellStyle name="40 % - Accent1 30 3" xfId="5251"/>
    <cellStyle name="40 % - Accent1 30 3 2" xfId="5252"/>
    <cellStyle name="40 % - Accent1 30 3 3" xfId="5253"/>
    <cellStyle name="40 % - Accent1 30 4" xfId="5254"/>
    <cellStyle name="40 % - Accent1 30 5" xfId="5255"/>
    <cellStyle name="40 % - Accent1 31" xfId="5256"/>
    <cellStyle name="40 % - Accent1 31 2" xfId="5257"/>
    <cellStyle name="40 % - Accent1 31 2 2" xfId="5258"/>
    <cellStyle name="40 % - Accent1 31 2 3" xfId="5259"/>
    <cellStyle name="40 % - Accent1 31 3" xfId="5260"/>
    <cellStyle name="40 % - Accent1 31 3 2" xfId="5261"/>
    <cellStyle name="40 % - Accent1 31 3 3" xfId="5262"/>
    <cellStyle name="40 % - Accent1 31 4" xfId="5263"/>
    <cellStyle name="40 % - Accent1 31 5" xfId="5264"/>
    <cellStyle name="40 % - Accent1 32" xfId="5265"/>
    <cellStyle name="40 % - Accent1 32 2" xfId="5266"/>
    <cellStyle name="40 % - Accent1 32 2 2" xfId="5267"/>
    <cellStyle name="40 % - Accent1 32 2 3" xfId="5268"/>
    <cellStyle name="40 % - Accent1 32 3" xfId="5269"/>
    <cellStyle name="40 % - Accent1 32 3 2" xfId="5270"/>
    <cellStyle name="40 % - Accent1 32 3 3" xfId="5271"/>
    <cellStyle name="40 % - Accent1 32 4" xfId="5272"/>
    <cellStyle name="40 % - Accent1 32 5" xfId="5273"/>
    <cellStyle name="40 % - Accent1 33" xfId="5274"/>
    <cellStyle name="40 % - Accent1 33 2" xfId="5275"/>
    <cellStyle name="40 % - Accent1 33 2 2" xfId="5276"/>
    <cellStyle name="40 % - Accent1 33 2 3" xfId="5277"/>
    <cellStyle name="40 % - Accent1 33 3" xfId="5278"/>
    <cellStyle name="40 % - Accent1 33 3 2" xfId="5279"/>
    <cellStyle name="40 % - Accent1 33 3 3" xfId="5280"/>
    <cellStyle name="40 % - Accent1 33 4" xfId="5281"/>
    <cellStyle name="40 % - Accent1 33 5" xfId="5282"/>
    <cellStyle name="40 % - Accent1 34" xfId="5283"/>
    <cellStyle name="40 % - Accent1 34 2" xfId="5284"/>
    <cellStyle name="40 % - Accent1 34 2 2" xfId="5285"/>
    <cellStyle name="40 % - Accent1 34 2 3" xfId="5286"/>
    <cellStyle name="40 % - Accent1 34 3" xfId="5287"/>
    <cellStyle name="40 % - Accent1 34 3 2" xfId="5288"/>
    <cellStyle name="40 % - Accent1 34 3 3" xfId="5289"/>
    <cellStyle name="40 % - Accent1 34 4" xfId="5290"/>
    <cellStyle name="40 % - Accent1 34 5" xfId="5291"/>
    <cellStyle name="40 % - Accent1 35" xfId="5292"/>
    <cellStyle name="40 % - Accent1 35 2" xfId="5293"/>
    <cellStyle name="40 % - Accent1 35 2 2" xfId="5294"/>
    <cellStyle name="40 % - Accent1 35 2 3" xfId="5295"/>
    <cellStyle name="40 % - Accent1 35 3" xfId="5296"/>
    <cellStyle name="40 % - Accent1 35 3 2" xfId="5297"/>
    <cellStyle name="40 % - Accent1 35 3 3" xfId="5298"/>
    <cellStyle name="40 % - Accent1 35 4" xfId="5299"/>
    <cellStyle name="40 % - Accent1 35 5" xfId="5300"/>
    <cellStyle name="40 % - Accent1 36" xfId="5301"/>
    <cellStyle name="40 % - Accent1 36 2" xfId="5302"/>
    <cellStyle name="40 % - Accent1 36 2 2" xfId="5303"/>
    <cellStyle name="40 % - Accent1 36 2 3" xfId="5304"/>
    <cellStyle name="40 % - Accent1 36 3" xfId="5305"/>
    <cellStyle name="40 % - Accent1 36 3 2" xfId="5306"/>
    <cellStyle name="40 % - Accent1 36 3 3" xfId="5307"/>
    <cellStyle name="40 % - Accent1 36 4" xfId="5308"/>
    <cellStyle name="40 % - Accent1 36 5" xfId="5309"/>
    <cellStyle name="40 % - Accent1 37" xfId="5310"/>
    <cellStyle name="40 % - Accent1 37 2" xfId="5311"/>
    <cellStyle name="40 % - Accent1 37 2 2" xfId="5312"/>
    <cellStyle name="40 % - Accent1 37 2 3" xfId="5313"/>
    <cellStyle name="40 % - Accent1 37 3" xfId="5314"/>
    <cellStyle name="40 % - Accent1 37 3 2" xfId="5315"/>
    <cellStyle name="40 % - Accent1 37 3 3" xfId="5316"/>
    <cellStyle name="40 % - Accent1 37 4" xfId="5317"/>
    <cellStyle name="40 % - Accent1 37 5" xfId="5318"/>
    <cellStyle name="40 % - Accent1 38" xfId="5319"/>
    <cellStyle name="40 % - Accent1 38 2" xfId="5320"/>
    <cellStyle name="40 % - Accent1 38 2 2" xfId="5321"/>
    <cellStyle name="40 % - Accent1 38 2 3" xfId="5322"/>
    <cellStyle name="40 % - Accent1 38 3" xfId="5323"/>
    <cellStyle name="40 % - Accent1 38 3 2" xfId="5324"/>
    <cellStyle name="40 % - Accent1 38 3 3" xfId="5325"/>
    <cellStyle name="40 % - Accent1 38 4" xfId="5326"/>
    <cellStyle name="40 % - Accent1 38 5" xfId="5327"/>
    <cellStyle name="40 % - Accent1 39" xfId="5328"/>
    <cellStyle name="40 % - Accent1 39 2" xfId="5329"/>
    <cellStyle name="40 % - Accent1 39 2 2" xfId="5330"/>
    <cellStyle name="40 % - Accent1 39 2 3" xfId="5331"/>
    <cellStyle name="40 % - Accent1 39 3" xfId="5332"/>
    <cellStyle name="40 % - Accent1 39 3 2" xfId="5333"/>
    <cellStyle name="40 % - Accent1 39 3 3" xfId="5334"/>
    <cellStyle name="40 % - Accent1 39 4" xfId="5335"/>
    <cellStyle name="40 % - Accent1 39 5" xfId="5336"/>
    <cellStyle name="40 % - Accent1 4" xfId="525"/>
    <cellStyle name="40 % - Accent1 4 2" xfId="526"/>
    <cellStyle name="40 % - Accent1 4 2 2" xfId="527"/>
    <cellStyle name="40 % - Accent1 4 2 3" xfId="5337"/>
    <cellStyle name="40 % - Accent1 4 3" xfId="528"/>
    <cellStyle name="40 % - Accent1 4 3 2" xfId="5338"/>
    <cellStyle name="40 % - Accent1 4 3 3" xfId="5339"/>
    <cellStyle name="40 % - Accent1 4 4" xfId="5340"/>
    <cellStyle name="40 % - Accent1 4 5" xfId="5341"/>
    <cellStyle name="40 % - Accent1 40" xfId="5342"/>
    <cellStyle name="40 % - Accent1 40 2" xfId="5343"/>
    <cellStyle name="40 % - Accent1 40 2 2" xfId="5344"/>
    <cellStyle name="40 % - Accent1 40 2 3" xfId="5345"/>
    <cellStyle name="40 % - Accent1 40 3" xfId="5346"/>
    <cellStyle name="40 % - Accent1 40 3 2" xfId="5347"/>
    <cellStyle name="40 % - Accent1 40 3 3" xfId="5348"/>
    <cellStyle name="40 % - Accent1 40 4" xfId="5349"/>
    <cellStyle name="40 % - Accent1 40 5" xfId="5350"/>
    <cellStyle name="40 % - Accent1 41" xfId="5351"/>
    <cellStyle name="40 % - Accent1 41 2" xfId="5352"/>
    <cellStyle name="40 % - Accent1 41 2 2" xfId="5353"/>
    <cellStyle name="40 % - Accent1 41 2 3" xfId="5354"/>
    <cellStyle name="40 % - Accent1 41 3" xfId="5355"/>
    <cellStyle name="40 % - Accent1 41 3 2" xfId="5356"/>
    <cellStyle name="40 % - Accent1 41 3 3" xfId="5357"/>
    <cellStyle name="40 % - Accent1 41 4" xfId="5358"/>
    <cellStyle name="40 % - Accent1 41 5" xfId="5359"/>
    <cellStyle name="40 % - Accent1 42" xfId="5360"/>
    <cellStyle name="40 % - Accent1 42 2" xfId="5361"/>
    <cellStyle name="40 % - Accent1 42 2 2" xfId="5362"/>
    <cellStyle name="40 % - Accent1 42 2 3" xfId="5363"/>
    <cellStyle name="40 % - Accent1 42 3" xfId="5364"/>
    <cellStyle name="40 % - Accent1 42 3 2" xfId="5365"/>
    <cellStyle name="40 % - Accent1 42 3 3" xfId="5366"/>
    <cellStyle name="40 % - Accent1 42 4" xfId="5367"/>
    <cellStyle name="40 % - Accent1 42 5" xfId="5368"/>
    <cellStyle name="40 % - Accent1 43" xfId="5369"/>
    <cellStyle name="40 % - Accent1 43 2" xfId="5370"/>
    <cellStyle name="40 % - Accent1 43 2 2" xfId="5371"/>
    <cellStyle name="40 % - Accent1 43 2 3" xfId="5372"/>
    <cellStyle name="40 % - Accent1 43 3" xfId="5373"/>
    <cellStyle name="40 % - Accent1 43 3 2" xfId="5374"/>
    <cellStyle name="40 % - Accent1 43 3 3" xfId="5375"/>
    <cellStyle name="40 % - Accent1 43 4" xfId="5376"/>
    <cellStyle name="40 % - Accent1 43 5" xfId="5377"/>
    <cellStyle name="40 % - Accent1 44" xfId="5378"/>
    <cellStyle name="40 % - Accent1 44 2" xfId="5379"/>
    <cellStyle name="40 % - Accent1 44 2 2" xfId="5380"/>
    <cellStyle name="40 % - Accent1 44 2 3" xfId="5381"/>
    <cellStyle name="40 % - Accent1 44 3" xfId="5382"/>
    <cellStyle name="40 % - Accent1 44 3 2" xfId="5383"/>
    <cellStyle name="40 % - Accent1 44 3 3" xfId="5384"/>
    <cellStyle name="40 % - Accent1 44 4" xfId="5385"/>
    <cellStyle name="40 % - Accent1 44 5" xfId="5386"/>
    <cellStyle name="40 % - Accent1 45" xfId="5387"/>
    <cellStyle name="40 % - Accent1 45 2" xfId="5388"/>
    <cellStyle name="40 % - Accent1 45 2 2" xfId="5389"/>
    <cellStyle name="40 % - Accent1 45 2 3" xfId="5390"/>
    <cellStyle name="40 % - Accent1 45 3" xfId="5391"/>
    <cellStyle name="40 % - Accent1 45 3 2" xfId="5392"/>
    <cellStyle name="40 % - Accent1 45 3 3" xfId="5393"/>
    <cellStyle name="40 % - Accent1 45 4" xfId="5394"/>
    <cellStyle name="40 % - Accent1 45 5" xfId="5395"/>
    <cellStyle name="40 % - Accent1 46" xfId="5396"/>
    <cellStyle name="40 % - Accent1 46 2" xfId="5397"/>
    <cellStyle name="40 % - Accent1 46 2 2" xfId="5398"/>
    <cellStyle name="40 % - Accent1 46 2 3" xfId="5399"/>
    <cellStyle name="40 % - Accent1 46 3" xfId="5400"/>
    <cellStyle name="40 % - Accent1 46 3 2" xfId="5401"/>
    <cellStyle name="40 % - Accent1 46 3 3" xfId="5402"/>
    <cellStyle name="40 % - Accent1 46 4" xfId="5403"/>
    <cellStyle name="40 % - Accent1 46 5" xfId="5404"/>
    <cellStyle name="40 % - Accent1 47" xfId="5405"/>
    <cellStyle name="40 % - Accent1 47 2" xfId="5406"/>
    <cellStyle name="40 % - Accent1 47 2 2" xfId="5407"/>
    <cellStyle name="40 % - Accent1 47 2 3" xfId="5408"/>
    <cellStyle name="40 % - Accent1 47 3" xfId="5409"/>
    <cellStyle name="40 % - Accent1 47 3 2" xfId="5410"/>
    <cellStyle name="40 % - Accent1 47 3 3" xfId="5411"/>
    <cellStyle name="40 % - Accent1 47 4" xfId="5412"/>
    <cellStyle name="40 % - Accent1 47 5" xfId="5413"/>
    <cellStyle name="40 % - Accent1 48" xfId="5414"/>
    <cellStyle name="40 % - Accent1 48 2" xfId="5415"/>
    <cellStyle name="40 % - Accent1 48 2 2" xfId="5416"/>
    <cellStyle name="40 % - Accent1 48 2 3" xfId="5417"/>
    <cellStyle name="40 % - Accent1 48 3" xfId="5418"/>
    <cellStyle name="40 % - Accent1 48 3 2" xfId="5419"/>
    <cellStyle name="40 % - Accent1 48 3 3" xfId="5420"/>
    <cellStyle name="40 % - Accent1 48 4" xfId="5421"/>
    <cellStyle name="40 % - Accent1 48 5" xfId="5422"/>
    <cellStyle name="40 % - Accent1 49" xfId="5423"/>
    <cellStyle name="40 % - Accent1 49 2" xfId="5424"/>
    <cellStyle name="40 % - Accent1 49 2 2" xfId="5425"/>
    <cellStyle name="40 % - Accent1 49 2 3" xfId="5426"/>
    <cellStyle name="40 % - Accent1 49 3" xfId="5427"/>
    <cellStyle name="40 % - Accent1 49 3 2" xfId="5428"/>
    <cellStyle name="40 % - Accent1 49 3 3" xfId="5429"/>
    <cellStyle name="40 % - Accent1 49 4" xfId="5430"/>
    <cellStyle name="40 % - Accent1 49 5" xfId="5431"/>
    <cellStyle name="40 % - Accent1 5" xfId="529"/>
    <cellStyle name="40 % - Accent1 5 2" xfId="530"/>
    <cellStyle name="40 % - Accent1 5 2 2" xfId="531"/>
    <cellStyle name="40 % - Accent1 5 2 3" xfId="5432"/>
    <cellStyle name="40 % - Accent1 5 3" xfId="532"/>
    <cellStyle name="40 % - Accent1 5 3 2" xfId="5433"/>
    <cellStyle name="40 % - Accent1 5 3 3" xfId="5434"/>
    <cellStyle name="40 % - Accent1 5 4" xfId="5435"/>
    <cellStyle name="40 % - Accent1 5 5" xfId="5436"/>
    <cellStyle name="40 % - Accent1 50" xfId="5437"/>
    <cellStyle name="40 % - Accent1 50 2" xfId="5438"/>
    <cellStyle name="40 % - Accent1 50 2 2" xfId="5439"/>
    <cellStyle name="40 % - Accent1 50 2 3" xfId="5440"/>
    <cellStyle name="40 % - Accent1 50 3" xfId="5441"/>
    <cellStyle name="40 % - Accent1 50 3 2" xfId="5442"/>
    <cellStyle name="40 % - Accent1 50 3 3" xfId="5443"/>
    <cellStyle name="40 % - Accent1 50 4" xfId="5444"/>
    <cellStyle name="40 % - Accent1 50 5" xfId="5445"/>
    <cellStyle name="40 % - Accent1 51" xfId="5446"/>
    <cellStyle name="40 % - Accent1 51 2" xfId="5447"/>
    <cellStyle name="40 % - Accent1 51 2 2" xfId="5448"/>
    <cellStyle name="40 % - Accent1 51 2 3" xfId="5449"/>
    <cellStyle name="40 % - Accent1 51 3" xfId="5450"/>
    <cellStyle name="40 % - Accent1 51 3 2" xfId="5451"/>
    <cellStyle name="40 % - Accent1 51 3 3" xfId="5452"/>
    <cellStyle name="40 % - Accent1 51 4" xfId="5453"/>
    <cellStyle name="40 % - Accent1 51 5" xfId="5454"/>
    <cellStyle name="40 % - Accent1 52" xfId="5455"/>
    <cellStyle name="40 % - Accent1 52 2" xfId="5456"/>
    <cellStyle name="40 % - Accent1 52 2 2" xfId="5457"/>
    <cellStyle name="40 % - Accent1 52 2 3" xfId="5458"/>
    <cellStyle name="40 % - Accent1 52 3" xfId="5459"/>
    <cellStyle name="40 % - Accent1 52 3 2" xfId="5460"/>
    <cellStyle name="40 % - Accent1 52 3 3" xfId="5461"/>
    <cellStyle name="40 % - Accent1 52 4" xfId="5462"/>
    <cellStyle name="40 % - Accent1 52 5" xfId="5463"/>
    <cellStyle name="40 % - Accent1 53" xfId="5464"/>
    <cellStyle name="40 % - Accent1 53 2" xfId="5465"/>
    <cellStyle name="40 % - Accent1 53 2 2" xfId="5466"/>
    <cellStyle name="40 % - Accent1 53 2 3" xfId="5467"/>
    <cellStyle name="40 % - Accent1 53 3" xfId="5468"/>
    <cellStyle name="40 % - Accent1 53 3 2" xfId="5469"/>
    <cellStyle name="40 % - Accent1 53 3 3" xfId="5470"/>
    <cellStyle name="40 % - Accent1 53 4" xfId="5471"/>
    <cellStyle name="40 % - Accent1 53 5" xfId="5472"/>
    <cellStyle name="40 % - Accent1 54" xfId="5473"/>
    <cellStyle name="40 % - Accent1 54 2" xfId="5474"/>
    <cellStyle name="40 % - Accent1 54 2 2" xfId="5475"/>
    <cellStyle name="40 % - Accent1 54 2 3" xfId="5476"/>
    <cellStyle name="40 % - Accent1 54 3" xfId="5477"/>
    <cellStyle name="40 % - Accent1 54 3 2" xfId="5478"/>
    <cellStyle name="40 % - Accent1 54 3 3" xfId="5479"/>
    <cellStyle name="40 % - Accent1 54 4" xfId="5480"/>
    <cellStyle name="40 % - Accent1 54 5" xfId="5481"/>
    <cellStyle name="40 % - Accent1 55" xfId="5482"/>
    <cellStyle name="40 % - Accent1 55 2" xfId="5483"/>
    <cellStyle name="40 % - Accent1 55 2 2" xfId="5484"/>
    <cellStyle name="40 % - Accent1 55 2 3" xfId="5485"/>
    <cellStyle name="40 % - Accent1 55 3" xfId="5486"/>
    <cellStyle name="40 % - Accent1 55 3 2" xfId="5487"/>
    <cellStyle name="40 % - Accent1 55 3 3" xfId="5488"/>
    <cellStyle name="40 % - Accent1 55 4" xfId="5489"/>
    <cellStyle name="40 % - Accent1 55 5" xfId="5490"/>
    <cellStyle name="40 % - Accent1 56" xfId="5491"/>
    <cellStyle name="40 % - Accent1 56 2" xfId="5492"/>
    <cellStyle name="40 % - Accent1 56 2 2" xfId="5493"/>
    <cellStyle name="40 % - Accent1 56 2 3" xfId="5494"/>
    <cellStyle name="40 % - Accent1 56 3" xfId="5495"/>
    <cellStyle name="40 % - Accent1 56 3 2" xfId="5496"/>
    <cellStyle name="40 % - Accent1 56 3 3" xfId="5497"/>
    <cellStyle name="40 % - Accent1 56 4" xfId="5498"/>
    <cellStyle name="40 % - Accent1 56 5" xfId="5499"/>
    <cellStyle name="40 % - Accent1 57" xfId="5500"/>
    <cellStyle name="40 % - Accent1 57 2" xfId="5501"/>
    <cellStyle name="40 % - Accent1 57 2 2" xfId="5502"/>
    <cellStyle name="40 % - Accent1 57 2 3" xfId="5503"/>
    <cellStyle name="40 % - Accent1 57 3" xfId="5504"/>
    <cellStyle name="40 % - Accent1 57 3 2" xfId="5505"/>
    <cellStyle name="40 % - Accent1 57 3 3" xfId="5506"/>
    <cellStyle name="40 % - Accent1 57 4" xfId="5507"/>
    <cellStyle name="40 % - Accent1 57 5" xfId="5508"/>
    <cellStyle name="40 % - Accent1 58" xfId="5509"/>
    <cellStyle name="40 % - Accent1 58 2" xfId="5510"/>
    <cellStyle name="40 % - Accent1 58 2 2" xfId="5511"/>
    <cellStyle name="40 % - Accent1 58 2 3" xfId="5512"/>
    <cellStyle name="40 % - Accent1 58 3" xfId="5513"/>
    <cellStyle name="40 % - Accent1 58 3 2" xfId="5514"/>
    <cellStyle name="40 % - Accent1 58 3 3" xfId="5515"/>
    <cellStyle name="40 % - Accent1 58 4" xfId="5516"/>
    <cellStyle name="40 % - Accent1 58 5" xfId="5517"/>
    <cellStyle name="40 % - Accent1 59" xfId="5518"/>
    <cellStyle name="40 % - Accent1 59 2" xfId="5519"/>
    <cellStyle name="40 % - Accent1 59 2 2" xfId="5520"/>
    <cellStyle name="40 % - Accent1 59 2 3" xfId="5521"/>
    <cellStyle name="40 % - Accent1 59 3" xfId="5522"/>
    <cellStyle name="40 % - Accent1 59 3 2" xfId="5523"/>
    <cellStyle name="40 % - Accent1 59 3 3" xfId="5524"/>
    <cellStyle name="40 % - Accent1 59 4" xfId="5525"/>
    <cellStyle name="40 % - Accent1 59 5" xfId="5526"/>
    <cellStyle name="40 % - Accent1 6" xfId="533"/>
    <cellStyle name="40 % - Accent1 6 2" xfId="534"/>
    <cellStyle name="40 % - Accent1 6 2 2" xfId="535"/>
    <cellStyle name="40 % - Accent1 6 2 3" xfId="5527"/>
    <cellStyle name="40 % - Accent1 6 3" xfId="536"/>
    <cellStyle name="40 % - Accent1 6 3 2" xfId="5528"/>
    <cellStyle name="40 % - Accent1 6 3 3" xfId="5529"/>
    <cellStyle name="40 % - Accent1 6 4" xfId="5530"/>
    <cellStyle name="40 % - Accent1 6 5" xfId="5531"/>
    <cellStyle name="40 % - Accent1 60" xfId="5532"/>
    <cellStyle name="40 % - Accent1 60 2" xfId="5533"/>
    <cellStyle name="40 % - Accent1 60 2 2" xfId="5534"/>
    <cellStyle name="40 % - Accent1 60 2 3" xfId="5535"/>
    <cellStyle name="40 % - Accent1 60 3" xfId="5536"/>
    <cellStyle name="40 % - Accent1 60 3 2" xfId="5537"/>
    <cellStyle name="40 % - Accent1 60 3 3" xfId="5538"/>
    <cellStyle name="40 % - Accent1 60 4" xfId="5539"/>
    <cellStyle name="40 % - Accent1 60 5" xfId="5540"/>
    <cellStyle name="40 % - Accent1 61" xfId="5541"/>
    <cellStyle name="40 % - Accent1 61 2" xfId="5542"/>
    <cellStyle name="40 % - Accent1 61 2 2" xfId="5543"/>
    <cellStyle name="40 % - Accent1 61 2 3" xfId="5544"/>
    <cellStyle name="40 % - Accent1 61 3" xfId="5545"/>
    <cellStyle name="40 % - Accent1 61 3 2" xfId="5546"/>
    <cellStyle name="40 % - Accent1 61 3 3" xfId="5547"/>
    <cellStyle name="40 % - Accent1 61 4" xfId="5548"/>
    <cellStyle name="40 % - Accent1 61 5" xfId="5549"/>
    <cellStyle name="40 % - Accent1 62" xfId="5550"/>
    <cellStyle name="40 % - Accent1 62 2" xfId="5551"/>
    <cellStyle name="40 % - Accent1 62 2 2" xfId="5552"/>
    <cellStyle name="40 % - Accent1 62 2 3" xfId="5553"/>
    <cellStyle name="40 % - Accent1 62 3" xfId="5554"/>
    <cellStyle name="40 % - Accent1 62 3 2" xfId="5555"/>
    <cellStyle name="40 % - Accent1 62 3 3" xfId="5556"/>
    <cellStyle name="40 % - Accent1 62 4" xfId="5557"/>
    <cellStyle name="40 % - Accent1 62 5" xfId="5558"/>
    <cellStyle name="40 % - Accent1 63" xfId="5559"/>
    <cellStyle name="40 % - Accent1 63 2" xfId="5560"/>
    <cellStyle name="40 % - Accent1 63 2 2" xfId="5561"/>
    <cellStyle name="40 % - Accent1 63 2 3" xfId="5562"/>
    <cellStyle name="40 % - Accent1 63 3" xfId="5563"/>
    <cellStyle name="40 % - Accent1 63 3 2" xfId="5564"/>
    <cellStyle name="40 % - Accent1 63 3 3" xfId="5565"/>
    <cellStyle name="40 % - Accent1 63 4" xfId="5566"/>
    <cellStyle name="40 % - Accent1 63 5" xfId="5567"/>
    <cellStyle name="40 % - Accent1 64" xfId="5568"/>
    <cellStyle name="40 % - Accent1 64 2" xfId="5569"/>
    <cellStyle name="40 % - Accent1 64 2 2" xfId="5570"/>
    <cellStyle name="40 % - Accent1 64 2 3" xfId="5571"/>
    <cellStyle name="40 % - Accent1 64 3" xfId="5572"/>
    <cellStyle name="40 % - Accent1 64 3 2" xfId="5573"/>
    <cellStyle name="40 % - Accent1 64 3 3" xfId="5574"/>
    <cellStyle name="40 % - Accent1 64 4" xfId="5575"/>
    <cellStyle name="40 % - Accent1 64 5" xfId="5576"/>
    <cellStyle name="40 % - Accent1 65" xfId="5577"/>
    <cellStyle name="40 % - Accent1 65 2" xfId="5578"/>
    <cellStyle name="40 % - Accent1 65 2 2" xfId="5579"/>
    <cellStyle name="40 % - Accent1 65 2 3" xfId="5580"/>
    <cellStyle name="40 % - Accent1 65 3" xfId="5581"/>
    <cellStyle name="40 % - Accent1 65 3 2" xfId="5582"/>
    <cellStyle name="40 % - Accent1 65 3 3" xfId="5583"/>
    <cellStyle name="40 % - Accent1 65 4" xfId="5584"/>
    <cellStyle name="40 % - Accent1 65 5" xfId="5585"/>
    <cellStyle name="40 % - Accent1 66" xfId="5586"/>
    <cellStyle name="40 % - Accent1 66 2" xfId="5587"/>
    <cellStyle name="40 % - Accent1 66 2 2" xfId="5588"/>
    <cellStyle name="40 % - Accent1 66 2 3" xfId="5589"/>
    <cellStyle name="40 % - Accent1 66 3" xfId="5590"/>
    <cellStyle name="40 % - Accent1 66 3 2" xfId="5591"/>
    <cellStyle name="40 % - Accent1 66 3 3" xfId="5592"/>
    <cellStyle name="40 % - Accent1 66 4" xfId="5593"/>
    <cellStyle name="40 % - Accent1 66 5" xfId="5594"/>
    <cellStyle name="40 % - Accent1 67" xfId="5595"/>
    <cellStyle name="40 % - Accent1 67 2" xfId="5596"/>
    <cellStyle name="40 % - Accent1 67 2 2" xfId="5597"/>
    <cellStyle name="40 % - Accent1 67 2 3" xfId="5598"/>
    <cellStyle name="40 % - Accent1 67 3" xfId="5599"/>
    <cellStyle name="40 % - Accent1 67 3 2" xfId="5600"/>
    <cellStyle name="40 % - Accent1 67 3 3" xfId="5601"/>
    <cellStyle name="40 % - Accent1 67 4" xfId="5602"/>
    <cellStyle name="40 % - Accent1 67 5" xfId="5603"/>
    <cellStyle name="40 % - Accent1 68" xfId="5604"/>
    <cellStyle name="40 % - Accent1 68 2" xfId="5605"/>
    <cellStyle name="40 % - Accent1 68 2 2" xfId="5606"/>
    <cellStyle name="40 % - Accent1 68 2 3" xfId="5607"/>
    <cellStyle name="40 % - Accent1 68 3" xfId="5608"/>
    <cellStyle name="40 % - Accent1 68 3 2" xfId="5609"/>
    <cellStyle name="40 % - Accent1 68 3 3" xfId="5610"/>
    <cellStyle name="40 % - Accent1 68 4" xfId="5611"/>
    <cellStyle name="40 % - Accent1 68 5" xfId="5612"/>
    <cellStyle name="40 % - Accent1 69" xfId="5613"/>
    <cellStyle name="40 % - Accent1 69 2" xfId="5614"/>
    <cellStyle name="40 % - Accent1 69 2 2" xfId="5615"/>
    <cellStyle name="40 % - Accent1 69 2 3" xfId="5616"/>
    <cellStyle name="40 % - Accent1 69 3" xfId="5617"/>
    <cellStyle name="40 % - Accent1 69 3 2" xfId="5618"/>
    <cellStyle name="40 % - Accent1 69 3 3" xfId="5619"/>
    <cellStyle name="40 % - Accent1 69 4" xfId="5620"/>
    <cellStyle name="40 % - Accent1 69 5" xfId="5621"/>
    <cellStyle name="40 % - Accent1 7" xfId="537"/>
    <cellStyle name="40 % - Accent1 7 2" xfId="538"/>
    <cellStyle name="40 % - Accent1 7 2 2" xfId="539"/>
    <cellStyle name="40 % - Accent1 7 2 3" xfId="5622"/>
    <cellStyle name="40 % - Accent1 7 3" xfId="540"/>
    <cellStyle name="40 % - Accent1 7 3 2" xfId="5623"/>
    <cellStyle name="40 % - Accent1 7 3 3" xfId="5624"/>
    <cellStyle name="40 % - Accent1 7 4" xfId="5625"/>
    <cellStyle name="40 % - Accent1 7 5" xfId="5626"/>
    <cellStyle name="40 % - Accent1 70" xfId="5627"/>
    <cellStyle name="40 % - Accent1 70 2" xfId="5628"/>
    <cellStyle name="40 % - Accent1 70 2 2" xfId="5629"/>
    <cellStyle name="40 % - Accent1 70 2 3" xfId="5630"/>
    <cellStyle name="40 % - Accent1 70 3" xfId="5631"/>
    <cellStyle name="40 % - Accent1 70 3 2" xfId="5632"/>
    <cellStyle name="40 % - Accent1 70 3 3" xfId="5633"/>
    <cellStyle name="40 % - Accent1 70 4" xfId="5634"/>
    <cellStyle name="40 % - Accent1 70 5" xfId="5635"/>
    <cellStyle name="40 % - Accent1 71" xfId="5636"/>
    <cellStyle name="40 % - Accent1 71 2" xfId="5637"/>
    <cellStyle name="40 % - Accent1 71 2 2" xfId="5638"/>
    <cellStyle name="40 % - Accent1 71 2 3" xfId="5639"/>
    <cellStyle name="40 % - Accent1 71 3" xfId="5640"/>
    <cellStyle name="40 % - Accent1 71 3 2" xfId="5641"/>
    <cellStyle name="40 % - Accent1 71 3 3" xfId="5642"/>
    <cellStyle name="40 % - Accent1 71 4" xfId="5643"/>
    <cellStyle name="40 % - Accent1 71 5" xfId="5644"/>
    <cellStyle name="40 % - Accent1 72" xfId="5645"/>
    <cellStyle name="40 % - Accent1 72 2" xfId="5646"/>
    <cellStyle name="40 % - Accent1 72 2 2" xfId="5647"/>
    <cellStyle name="40 % - Accent1 72 2 3" xfId="5648"/>
    <cellStyle name="40 % - Accent1 72 3" xfId="5649"/>
    <cellStyle name="40 % - Accent1 72 3 2" xfId="5650"/>
    <cellStyle name="40 % - Accent1 72 3 3" xfId="5651"/>
    <cellStyle name="40 % - Accent1 72 4" xfId="5652"/>
    <cellStyle name="40 % - Accent1 72 5" xfId="5653"/>
    <cellStyle name="40 % - Accent1 73" xfId="5654"/>
    <cellStyle name="40 % - Accent1 73 2" xfId="5655"/>
    <cellStyle name="40 % - Accent1 73 2 2" xfId="5656"/>
    <cellStyle name="40 % - Accent1 73 2 3" xfId="5657"/>
    <cellStyle name="40 % - Accent1 73 3" xfId="5658"/>
    <cellStyle name="40 % - Accent1 73 3 2" xfId="5659"/>
    <cellStyle name="40 % - Accent1 73 3 3" xfId="5660"/>
    <cellStyle name="40 % - Accent1 73 4" xfId="5661"/>
    <cellStyle name="40 % - Accent1 73 5" xfId="5662"/>
    <cellStyle name="40 % - Accent1 74" xfId="5663"/>
    <cellStyle name="40 % - Accent1 74 2" xfId="5664"/>
    <cellStyle name="40 % - Accent1 74 3" xfId="5665"/>
    <cellStyle name="40 % - Accent1 75" xfId="5666"/>
    <cellStyle name="40 % - Accent1 75 2" xfId="5667"/>
    <cellStyle name="40 % - Accent1 75 3" xfId="5668"/>
    <cellStyle name="40 % - Accent1 76" xfId="5669"/>
    <cellStyle name="40 % - Accent1 76 2" xfId="5670"/>
    <cellStyle name="40 % - Accent1 76 3" xfId="5671"/>
    <cellStyle name="40 % - Accent1 77" xfId="5672"/>
    <cellStyle name="40 % - Accent1 77 2" xfId="5673"/>
    <cellStyle name="40 % - Accent1 77 3" xfId="5674"/>
    <cellStyle name="40 % - Accent1 78" xfId="5675"/>
    <cellStyle name="40 % - Accent1 79" xfId="5676"/>
    <cellStyle name="40 % - Accent1 8" xfId="541"/>
    <cellStyle name="40 % - Accent1 8 2" xfId="542"/>
    <cellStyle name="40 % - Accent1 8 2 2" xfId="543"/>
    <cellStyle name="40 % - Accent1 8 2 3" xfId="5677"/>
    <cellStyle name="40 % - Accent1 8 3" xfId="544"/>
    <cellStyle name="40 % - Accent1 8 3 2" xfId="5678"/>
    <cellStyle name="40 % - Accent1 8 3 3" xfId="5679"/>
    <cellStyle name="40 % - Accent1 8 4" xfId="5680"/>
    <cellStyle name="40 % - Accent1 8 5" xfId="5681"/>
    <cellStyle name="40 % - Accent1 80" xfId="5682"/>
    <cellStyle name="40 % - Accent1 81" xfId="5683"/>
    <cellStyle name="40 % - Accent1 82" xfId="5684"/>
    <cellStyle name="40 % - Accent1 83" xfId="5685"/>
    <cellStyle name="40 % - Accent1 84" xfId="5686"/>
    <cellStyle name="40 % - Accent1 85" xfId="5687"/>
    <cellStyle name="40 % - Accent1 86" xfId="5688"/>
    <cellStyle name="40 % - Accent1 87" xfId="5689"/>
    <cellStyle name="40 % - Accent1 88" xfId="5690"/>
    <cellStyle name="40 % - Accent1 89" xfId="5691"/>
    <cellStyle name="40 % - Accent1 9" xfId="545"/>
    <cellStyle name="40 % - Accent1 9 2" xfId="546"/>
    <cellStyle name="40 % - Accent1 9 2 2" xfId="547"/>
    <cellStyle name="40 % - Accent1 9 2 3" xfId="5692"/>
    <cellStyle name="40 % - Accent1 9 3" xfId="548"/>
    <cellStyle name="40 % - Accent1 9 3 2" xfId="5693"/>
    <cellStyle name="40 % - Accent1 9 3 3" xfId="5694"/>
    <cellStyle name="40 % - Accent1 9 4" xfId="5695"/>
    <cellStyle name="40 % - Accent1 9 5" xfId="5696"/>
    <cellStyle name="40 % - Accent1 90" xfId="5697"/>
    <cellStyle name="40 % - Accent1 91" xfId="5698"/>
    <cellStyle name="40 % - Accent1 92" xfId="5699"/>
    <cellStyle name="40 % - Accent1 93" xfId="5700"/>
    <cellStyle name="40 % - Accent1 94" xfId="5701"/>
    <cellStyle name="40 % - Accent1 95" xfId="5702"/>
    <cellStyle name="40 % - Accent1 96" xfId="5703"/>
    <cellStyle name="40 % - Accent1 97" xfId="5704"/>
    <cellStyle name="40 % - Accent1 98" xfId="5705"/>
    <cellStyle name="40 % - Accent1 99" xfId="5706"/>
    <cellStyle name="40 % - Accent2 10" xfId="549"/>
    <cellStyle name="40 % - Accent2 10 2" xfId="550"/>
    <cellStyle name="40 % - Accent2 10 2 2" xfId="551"/>
    <cellStyle name="40 % - Accent2 10 2 3" xfId="5707"/>
    <cellStyle name="40 % - Accent2 10 3" xfId="552"/>
    <cellStyle name="40 % - Accent2 10 3 2" xfId="5708"/>
    <cellStyle name="40 % - Accent2 10 3 3" xfId="5709"/>
    <cellStyle name="40 % - Accent2 10 4" xfId="5710"/>
    <cellStyle name="40 % - Accent2 10 5" xfId="5711"/>
    <cellStyle name="40 % - Accent2 100" xfId="5712"/>
    <cellStyle name="40 % - Accent2 101" xfId="5713"/>
    <cellStyle name="40 % - Accent2 102" xfId="5714"/>
    <cellStyle name="40 % - Accent2 103" xfId="5715"/>
    <cellStyle name="40 % - Accent2 104" xfId="5716"/>
    <cellStyle name="40 % - Accent2 105" xfId="5717"/>
    <cellStyle name="40 % - Accent2 106" xfId="5718"/>
    <cellStyle name="40 % - Accent2 107" xfId="5719"/>
    <cellStyle name="40 % - Accent2 108" xfId="5720"/>
    <cellStyle name="40 % - Accent2 109" xfId="5721"/>
    <cellStyle name="40 % - Accent2 11" xfId="553"/>
    <cellStyle name="40 % - Accent2 11 2" xfId="554"/>
    <cellStyle name="40 % - Accent2 11 2 2" xfId="555"/>
    <cellStyle name="40 % - Accent2 11 2 3" xfId="5722"/>
    <cellStyle name="40 % - Accent2 11 3" xfId="556"/>
    <cellStyle name="40 % - Accent2 11 3 2" xfId="5723"/>
    <cellStyle name="40 % - Accent2 11 3 3" xfId="5724"/>
    <cellStyle name="40 % - Accent2 11 4" xfId="5725"/>
    <cellStyle name="40 % - Accent2 11 5" xfId="5726"/>
    <cellStyle name="40 % - Accent2 110" xfId="5727"/>
    <cellStyle name="40 % - Accent2 111" xfId="5728"/>
    <cellStyle name="40 % - Accent2 112" xfId="5729"/>
    <cellStyle name="40 % - Accent2 113" xfId="5730"/>
    <cellStyle name="40 % - Accent2 114" xfId="5731"/>
    <cellStyle name="40 % - Accent2 115" xfId="5732"/>
    <cellStyle name="40 % - Accent2 116" xfId="5733"/>
    <cellStyle name="40 % - Accent2 117" xfId="5734"/>
    <cellStyle name="40 % - Accent2 118" xfId="5735"/>
    <cellStyle name="40 % - Accent2 119" xfId="5736"/>
    <cellStyle name="40 % - Accent2 12" xfId="557"/>
    <cellStyle name="40 % - Accent2 12 2" xfId="558"/>
    <cellStyle name="40 % - Accent2 12 2 2" xfId="559"/>
    <cellStyle name="40 % - Accent2 12 2 3" xfId="5737"/>
    <cellStyle name="40 % - Accent2 12 3" xfId="560"/>
    <cellStyle name="40 % - Accent2 12 3 2" xfId="5738"/>
    <cellStyle name="40 % - Accent2 12 3 3" xfId="5739"/>
    <cellStyle name="40 % - Accent2 12 4" xfId="5740"/>
    <cellStyle name="40 % - Accent2 12 5" xfId="5741"/>
    <cellStyle name="40 % - Accent2 120" xfId="5742"/>
    <cellStyle name="40 % - Accent2 121" xfId="5743"/>
    <cellStyle name="40 % - Accent2 122" xfId="5744"/>
    <cellStyle name="40 % - Accent2 123" xfId="5745"/>
    <cellStyle name="40 % - Accent2 124" xfId="5746"/>
    <cellStyle name="40 % - Accent2 125" xfId="5747"/>
    <cellStyle name="40 % - Accent2 126" xfId="5748"/>
    <cellStyle name="40 % - Accent2 127" xfId="5749"/>
    <cellStyle name="40 % - Accent2 128" xfId="5750"/>
    <cellStyle name="40 % - Accent2 129" xfId="5751"/>
    <cellStyle name="40 % - Accent2 13" xfId="561"/>
    <cellStyle name="40 % - Accent2 13 2" xfId="562"/>
    <cellStyle name="40 % - Accent2 13 2 2" xfId="563"/>
    <cellStyle name="40 % - Accent2 13 2 3" xfId="5752"/>
    <cellStyle name="40 % - Accent2 13 3" xfId="564"/>
    <cellStyle name="40 % - Accent2 13 3 2" xfId="5753"/>
    <cellStyle name="40 % - Accent2 13 3 3" xfId="5754"/>
    <cellStyle name="40 % - Accent2 13 4" xfId="5755"/>
    <cellStyle name="40 % - Accent2 13 5" xfId="5756"/>
    <cellStyle name="40 % - Accent2 130" xfId="5757"/>
    <cellStyle name="40 % - Accent2 131" xfId="5758"/>
    <cellStyle name="40 % - Accent2 132" xfId="5759"/>
    <cellStyle name="40 % - Accent2 133" xfId="5760"/>
    <cellStyle name="40 % - Accent2 134" xfId="5761"/>
    <cellStyle name="40 % - Accent2 135" xfId="5762"/>
    <cellStyle name="40 % - Accent2 136" xfId="5763"/>
    <cellStyle name="40 % - Accent2 137" xfId="5764"/>
    <cellStyle name="40 % - Accent2 138" xfId="5765"/>
    <cellStyle name="40 % - Accent2 139" xfId="5766"/>
    <cellStyle name="40 % - Accent2 14" xfId="565"/>
    <cellStyle name="40 % - Accent2 14 2" xfId="566"/>
    <cellStyle name="40 % - Accent2 14 2 2" xfId="567"/>
    <cellStyle name="40 % - Accent2 14 2 3" xfId="5767"/>
    <cellStyle name="40 % - Accent2 14 3" xfId="568"/>
    <cellStyle name="40 % - Accent2 14 3 2" xfId="5768"/>
    <cellStyle name="40 % - Accent2 14 3 3" xfId="5769"/>
    <cellStyle name="40 % - Accent2 14 4" xfId="5770"/>
    <cellStyle name="40 % - Accent2 14 5" xfId="5771"/>
    <cellStyle name="40 % - Accent2 140" xfId="5772"/>
    <cellStyle name="40 % - Accent2 15" xfId="569"/>
    <cellStyle name="40 % - Accent2 15 2" xfId="570"/>
    <cellStyle name="40 % - Accent2 15 2 2" xfId="571"/>
    <cellStyle name="40 % - Accent2 15 2 3" xfId="5773"/>
    <cellStyle name="40 % - Accent2 15 3" xfId="572"/>
    <cellStyle name="40 % - Accent2 15 3 2" xfId="5774"/>
    <cellStyle name="40 % - Accent2 15 3 3" xfId="5775"/>
    <cellStyle name="40 % - Accent2 15 4" xfId="5776"/>
    <cellStyle name="40 % - Accent2 15 5" xfId="5777"/>
    <cellStyle name="40 % - Accent2 16" xfId="573"/>
    <cellStyle name="40 % - Accent2 16 2" xfId="574"/>
    <cellStyle name="40 % - Accent2 16 2 2" xfId="575"/>
    <cellStyle name="40 % - Accent2 16 2 3" xfId="5778"/>
    <cellStyle name="40 % - Accent2 16 3" xfId="576"/>
    <cellStyle name="40 % - Accent2 16 3 2" xfId="5779"/>
    <cellStyle name="40 % - Accent2 16 3 3" xfId="5780"/>
    <cellStyle name="40 % - Accent2 16 4" xfId="5781"/>
    <cellStyle name="40 % - Accent2 16 5" xfId="5782"/>
    <cellStyle name="40 % - Accent2 17" xfId="577"/>
    <cellStyle name="40 % - Accent2 17 2" xfId="578"/>
    <cellStyle name="40 % - Accent2 17 2 2" xfId="579"/>
    <cellStyle name="40 % - Accent2 17 2 3" xfId="5783"/>
    <cellStyle name="40 % - Accent2 17 3" xfId="580"/>
    <cellStyle name="40 % - Accent2 17 3 2" xfId="5784"/>
    <cellStyle name="40 % - Accent2 17 3 3" xfId="5785"/>
    <cellStyle name="40 % - Accent2 17 4" xfId="5786"/>
    <cellStyle name="40 % - Accent2 17 5" xfId="5787"/>
    <cellStyle name="40 % - Accent2 18" xfId="581"/>
    <cellStyle name="40 % - Accent2 18 2" xfId="582"/>
    <cellStyle name="40 % - Accent2 18 2 2" xfId="583"/>
    <cellStyle name="40 % - Accent2 18 2 3" xfId="5788"/>
    <cellStyle name="40 % - Accent2 18 3" xfId="584"/>
    <cellStyle name="40 % - Accent2 18 3 2" xfId="5789"/>
    <cellStyle name="40 % - Accent2 18 3 3" xfId="5790"/>
    <cellStyle name="40 % - Accent2 18 4" xfId="5791"/>
    <cellStyle name="40 % - Accent2 18 5" xfId="5792"/>
    <cellStyle name="40 % - Accent2 19" xfId="5793"/>
    <cellStyle name="40 % - Accent2 19 2" xfId="5794"/>
    <cellStyle name="40 % - Accent2 19 2 2" xfId="5795"/>
    <cellStyle name="40 % - Accent2 19 2 3" xfId="5796"/>
    <cellStyle name="40 % - Accent2 19 3" xfId="5797"/>
    <cellStyle name="40 % - Accent2 19 3 2" xfId="5798"/>
    <cellStyle name="40 % - Accent2 19 3 3" xfId="5799"/>
    <cellStyle name="40 % - Accent2 19 4" xfId="5800"/>
    <cellStyle name="40 % - Accent2 19 5" xfId="5801"/>
    <cellStyle name="40 % - Accent2 2" xfId="585"/>
    <cellStyle name="40 % - Accent2 2 2" xfId="586"/>
    <cellStyle name="40 % - Accent2 2 2 2" xfId="587"/>
    <cellStyle name="40 % - Accent2 2 2 3" xfId="5802"/>
    <cellStyle name="40 % - Accent2 2 3" xfId="588"/>
    <cellStyle name="40 % - Accent2 2 3 2" xfId="5803"/>
    <cellStyle name="40 % - Accent2 2 3 3" xfId="5804"/>
    <cellStyle name="40 % - Accent2 2 4" xfId="5805"/>
    <cellStyle name="40 % - Accent2 2 5" xfId="5806"/>
    <cellStyle name="40 % - Accent2 20" xfId="5807"/>
    <cellStyle name="40 % - Accent2 20 2" xfId="5808"/>
    <cellStyle name="40 % - Accent2 20 2 2" xfId="5809"/>
    <cellStyle name="40 % - Accent2 20 2 3" xfId="5810"/>
    <cellStyle name="40 % - Accent2 20 3" xfId="5811"/>
    <cellStyle name="40 % - Accent2 20 3 2" xfId="5812"/>
    <cellStyle name="40 % - Accent2 20 3 3" xfId="5813"/>
    <cellStyle name="40 % - Accent2 20 4" xfId="5814"/>
    <cellStyle name="40 % - Accent2 20 5" xfId="5815"/>
    <cellStyle name="40 % - Accent2 21" xfId="5816"/>
    <cellStyle name="40 % - Accent2 21 2" xfId="5817"/>
    <cellStyle name="40 % - Accent2 21 2 2" xfId="5818"/>
    <cellStyle name="40 % - Accent2 21 2 3" xfId="5819"/>
    <cellStyle name="40 % - Accent2 21 3" xfId="5820"/>
    <cellStyle name="40 % - Accent2 21 3 2" xfId="5821"/>
    <cellStyle name="40 % - Accent2 21 3 3" xfId="5822"/>
    <cellStyle name="40 % - Accent2 21 4" xfId="5823"/>
    <cellStyle name="40 % - Accent2 21 5" xfId="5824"/>
    <cellStyle name="40 % - Accent2 22" xfId="5825"/>
    <cellStyle name="40 % - Accent2 22 2" xfId="5826"/>
    <cellStyle name="40 % - Accent2 22 2 2" xfId="5827"/>
    <cellStyle name="40 % - Accent2 22 2 3" xfId="5828"/>
    <cellStyle name="40 % - Accent2 22 3" xfId="5829"/>
    <cellStyle name="40 % - Accent2 22 3 2" xfId="5830"/>
    <cellStyle name="40 % - Accent2 22 3 3" xfId="5831"/>
    <cellStyle name="40 % - Accent2 22 4" xfId="5832"/>
    <cellStyle name="40 % - Accent2 22 5" xfId="5833"/>
    <cellStyle name="40 % - Accent2 23" xfId="5834"/>
    <cellStyle name="40 % - Accent2 23 2" xfId="5835"/>
    <cellStyle name="40 % - Accent2 23 2 2" xfId="5836"/>
    <cellStyle name="40 % - Accent2 23 2 3" xfId="5837"/>
    <cellStyle name="40 % - Accent2 23 3" xfId="5838"/>
    <cellStyle name="40 % - Accent2 23 3 2" xfId="5839"/>
    <cellStyle name="40 % - Accent2 23 3 3" xfId="5840"/>
    <cellStyle name="40 % - Accent2 23 4" xfId="5841"/>
    <cellStyle name="40 % - Accent2 23 5" xfId="5842"/>
    <cellStyle name="40 % - Accent2 24" xfId="5843"/>
    <cellStyle name="40 % - Accent2 24 2" xfId="5844"/>
    <cellStyle name="40 % - Accent2 24 2 2" xfId="5845"/>
    <cellStyle name="40 % - Accent2 24 2 3" xfId="5846"/>
    <cellStyle name="40 % - Accent2 24 3" xfId="5847"/>
    <cellStyle name="40 % - Accent2 24 3 2" xfId="5848"/>
    <cellStyle name="40 % - Accent2 24 3 3" xfId="5849"/>
    <cellStyle name="40 % - Accent2 24 4" xfId="5850"/>
    <cellStyle name="40 % - Accent2 24 5" xfId="5851"/>
    <cellStyle name="40 % - Accent2 25" xfId="5852"/>
    <cellStyle name="40 % - Accent2 25 2" xfId="5853"/>
    <cellStyle name="40 % - Accent2 25 2 2" xfId="5854"/>
    <cellStyle name="40 % - Accent2 25 2 3" xfId="5855"/>
    <cellStyle name="40 % - Accent2 25 3" xfId="5856"/>
    <cellStyle name="40 % - Accent2 25 3 2" xfId="5857"/>
    <cellStyle name="40 % - Accent2 25 3 3" xfId="5858"/>
    <cellStyle name="40 % - Accent2 25 4" xfId="5859"/>
    <cellStyle name="40 % - Accent2 25 5" xfId="5860"/>
    <cellStyle name="40 % - Accent2 26" xfId="5861"/>
    <cellStyle name="40 % - Accent2 26 2" xfId="5862"/>
    <cellStyle name="40 % - Accent2 26 2 2" xfId="5863"/>
    <cellStyle name="40 % - Accent2 26 2 3" xfId="5864"/>
    <cellStyle name="40 % - Accent2 26 3" xfId="5865"/>
    <cellStyle name="40 % - Accent2 26 3 2" xfId="5866"/>
    <cellStyle name="40 % - Accent2 26 3 3" xfId="5867"/>
    <cellStyle name="40 % - Accent2 26 4" xfId="5868"/>
    <cellStyle name="40 % - Accent2 26 5" xfId="5869"/>
    <cellStyle name="40 % - Accent2 27" xfId="5870"/>
    <cellStyle name="40 % - Accent2 27 2" xfId="5871"/>
    <cellStyle name="40 % - Accent2 27 2 2" xfId="5872"/>
    <cellStyle name="40 % - Accent2 27 2 3" xfId="5873"/>
    <cellStyle name="40 % - Accent2 27 3" xfId="5874"/>
    <cellStyle name="40 % - Accent2 27 3 2" xfId="5875"/>
    <cellStyle name="40 % - Accent2 27 3 3" xfId="5876"/>
    <cellStyle name="40 % - Accent2 27 4" xfId="5877"/>
    <cellStyle name="40 % - Accent2 27 5" xfId="5878"/>
    <cellStyle name="40 % - Accent2 28" xfId="5879"/>
    <cellStyle name="40 % - Accent2 28 2" xfId="5880"/>
    <cellStyle name="40 % - Accent2 28 2 2" xfId="5881"/>
    <cellStyle name="40 % - Accent2 28 2 3" xfId="5882"/>
    <cellStyle name="40 % - Accent2 28 3" xfId="5883"/>
    <cellStyle name="40 % - Accent2 28 3 2" xfId="5884"/>
    <cellStyle name="40 % - Accent2 28 3 3" xfId="5885"/>
    <cellStyle name="40 % - Accent2 28 4" xfId="5886"/>
    <cellStyle name="40 % - Accent2 28 5" xfId="5887"/>
    <cellStyle name="40 % - Accent2 29" xfId="5888"/>
    <cellStyle name="40 % - Accent2 29 2" xfId="5889"/>
    <cellStyle name="40 % - Accent2 29 2 2" xfId="5890"/>
    <cellStyle name="40 % - Accent2 29 2 3" xfId="5891"/>
    <cellStyle name="40 % - Accent2 29 3" xfId="5892"/>
    <cellStyle name="40 % - Accent2 29 3 2" xfId="5893"/>
    <cellStyle name="40 % - Accent2 29 3 3" xfId="5894"/>
    <cellStyle name="40 % - Accent2 29 4" xfId="5895"/>
    <cellStyle name="40 % - Accent2 29 5" xfId="5896"/>
    <cellStyle name="40 % - Accent2 3" xfId="589"/>
    <cellStyle name="40 % - Accent2 3 2" xfId="590"/>
    <cellStyle name="40 % - Accent2 3 2 2" xfId="591"/>
    <cellStyle name="40 % - Accent2 3 2 3" xfId="5897"/>
    <cellStyle name="40 % - Accent2 3 3" xfId="592"/>
    <cellStyle name="40 % - Accent2 3 3 2" xfId="5898"/>
    <cellStyle name="40 % - Accent2 3 3 3" xfId="5899"/>
    <cellStyle name="40 % - Accent2 3 4" xfId="5900"/>
    <cellStyle name="40 % - Accent2 3 5" xfId="5901"/>
    <cellStyle name="40 % - Accent2 30" xfId="5902"/>
    <cellStyle name="40 % - Accent2 30 2" xfId="5903"/>
    <cellStyle name="40 % - Accent2 30 2 2" xfId="5904"/>
    <cellStyle name="40 % - Accent2 30 2 3" xfId="5905"/>
    <cellStyle name="40 % - Accent2 30 3" xfId="5906"/>
    <cellStyle name="40 % - Accent2 30 3 2" xfId="5907"/>
    <cellStyle name="40 % - Accent2 30 3 3" xfId="5908"/>
    <cellStyle name="40 % - Accent2 30 4" xfId="5909"/>
    <cellStyle name="40 % - Accent2 30 5" xfId="5910"/>
    <cellStyle name="40 % - Accent2 31" xfId="5911"/>
    <cellStyle name="40 % - Accent2 31 2" xfId="5912"/>
    <cellStyle name="40 % - Accent2 31 2 2" xfId="5913"/>
    <cellStyle name="40 % - Accent2 31 2 3" xfId="5914"/>
    <cellStyle name="40 % - Accent2 31 3" xfId="5915"/>
    <cellStyle name="40 % - Accent2 31 3 2" xfId="5916"/>
    <cellStyle name="40 % - Accent2 31 3 3" xfId="5917"/>
    <cellStyle name="40 % - Accent2 31 4" xfId="5918"/>
    <cellStyle name="40 % - Accent2 31 5" xfId="5919"/>
    <cellStyle name="40 % - Accent2 32" xfId="5920"/>
    <cellStyle name="40 % - Accent2 32 2" xfId="5921"/>
    <cellStyle name="40 % - Accent2 32 2 2" xfId="5922"/>
    <cellStyle name="40 % - Accent2 32 2 3" xfId="5923"/>
    <cellStyle name="40 % - Accent2 32 3" xfId="5924"/>
    <cellStyle name="40 % - Accent2 32 3 2" xfId="5925"/>
    <cellStyle name="40 % - Accent2 32 3 3" xfId="5926"/>
    <cellStyle name="40 % - Accent2 32 4" xfId="5927"/>
    <cellStyle name="40 % - Accent2 32 5" xfId="5928"/>
    <cellStyle name="40 % - Accent2 33" xfId="5929"/>
    <cellStyle name="40 % - Accent2 33 2" xfId="5930"/>
    <cellStyle name="40 % - Accent2 33 2 2" xfId="5931"/>
    <cellStyle name="40 % - Accent2 33 2 3" xfId="5932"/>
    <cellStyle name="40 % - Accent2 33 3" xfId="5933"/>
    <cellStyle name="40 % - Accent2 33 3 2" xfId="5934"/>
    <cellStyle name="40 % - Accent2 33 3 3" xfId="5935"/>
    <cellStyle name="40 % - Accent2 33 4" xfId="5936"/>
    <cellStyle name="40 % - Accent2 33 5" xfId="5937"/>
    <cellStyle name="40 % - Accent2 34" xfId="5938"/>
    <cellStyle name="40 % - Accent2 34 2" xfId="5939"/>
    <cellStyle name="40 % - Accent2 34 2 2" xfId="5940"/>
    <cellStyle name="40 % - Accent2 34 2 3" xfId="5941"/>
    <cellStyle name="40 % - Accent2 34 3" xfId="5942"/>
    <cellStyle name="40 % - Accent2 34 3 2" xfId="5943"/>
    <cellStyle name="40 % - Accent2 34 3 3" xfId="5944"/>
    <cellStyle name="40 % - Accent2 34 4" xfId="5945"/>
    <cellStyle name="40 % - Accent2 34 5" xfId="5946"/>
    <cellStyle name="40 % - Accent2 35" xfId="5947"/>
    <cellStyle name="40 % - Accent2 35 2" xfId="5948"/>
    <cellStyle name="40 % - Accent2 35 2 2" xfId="5949"/>
    <cellStyle name="40 % - Accent2 35 2 3" xfId="5950"/>
    <cellStyle name="40 % - Accent2 35 3" xfId="5951"/>
    <cellStyle name="40 % - Accent2 35 3 2" xfId="5952"/>
    <cellStyle name="40 % - Accent2 35 3 3" xfId="5953"/>
    <cellStyle name="40 % - Accent2 35 4" xfId="5954"/>
    <cellStyle name="40 % - Accent2 35 5" xfId="5955"/>
    <cellStyle name="40 % - Accent2 36" xfId="5956"/>
    <cellStyle name="40 % - Accent2 36 2" xfId="5957"/>
    <cellStyle name="40 % - Accent2 36 2 2" xfId="5958"/>
    <cellStyle name="40 % - Accent2 36 2 3" xfId="5959"/>
    <cellStyle name="40 % - Accent2 36 3" xfId="5960"/>
    <cellStyle name="40 % - Accent2 36 3 2" xfId="5961"/>
    <cellStyle name="40 % - Accent2 36 3 3" xfId="5962"/>
    <cellStyle name="40 % - Accent2 36 4" xfId="5963"/>
    <cellStyle name="40 % - Accent2 36 5" xfId="5964"/>
    <cellStyle name="40 % - Accent2 37" xfId="5965"/>
    <cellStyle name="40 % - Accent2 37 2" xfId="5966"/>
    <cellStyle name="40 % - Accent2 37 2 2" xfId="5967"/>
    <cellStyle name="40 % - Accent2 37 2 3" xfId="5968"/>
    <cellStyle name="40 % - Accent2 37 3" xfId="5969"/>
    <cellStyle name="40 % - Accent2 37 3 2" xfId="5970"/>
    <cellStyle name="40 % - Accent2 37 3 3" xfId="5971"/>
    <cellStyle name="40 % - Accent2 37 4" xfId="5972"/>
    <cellStyle name="40 % - Accent2 37 5" xfId="5973"/>
    <cellStyle name="40 % - Accent2 38" xfId="5974"/>
    <cellStyle name="40 % - Accent2 38 2" xfId="5975"/>
    <cellStyle name="40 % - Accent2 38 2 2" xfId="5976"/>
    <cellStyle name="40 % - Accent2 38 2 3" xfId="5977"/>
    <cellStyle name="40 % - Accent2 38 3" xfId="5978"/>
    <cellStyle name="40 % - Accent2 38 3 2" xfId="5979"/>
    <cellStyle name="40 % - Accent2 38 3 3" xfId="5980"/>
    <cellStyle name="40 % - Accent2 38 4" xfId="5981"/>
    <cellStyle name="40 % - Accent2 38 5" xfId="5982"/>
    <cellStyle name="40 % - Accent2 39" xfId="5983"/>
    <cellStyle name="40 % - Accent2 39 2" xfId="5984"/>
    <cellStyle name="40 % - Accent2 39 2 2" xfId="5985"/>
    <cellStyle name="40 % - Accent2 39 2 3" xfId="5986"/>
    <cellStyle name="40 % - Accent2 39 3" xfId="5987"/>
    <cellStyle name="40 % - Accent2 39 3 2" xfId="5988"/>
    <cellStyle name="40 % - Accent2 39 3 3" xfId="5989"/>
    <cellStyle name="40 % - Accent2 39 4" xfId="5990"/>
    <cellStyle name="40 % - Accent2 39 5" xfId="5991"/>
    <cellStyle name="40 % - Accent2 4" xfId="593"/>
    <cellStyle name="40 % - Accent2 4 2" xfId="594"/>
    <cellStyle name="40 % - Accent2 4 2 2" xfId="595"/>
    <cellStyle name="40 % - Accent2 4 2 3" xfId="5992"/>
    <cellStyle name="40 % - Accent2 4 3" xfId="596"/>
    <cellStyle name="40 % - Accent2 4 3 2" xfId="5993"/>
    <cellStyle name="40 % - Accent2 4 3 3" xfId="5994"/>
    <cellStyle name="40 % - Accent2 4 4" xfId="5995"/>
    <cellStyle name="40 % - Accent2 4 5" xfId="5996"/>
    <cellStyle name="40 % - Accent2 40" xfId="5997"/>
    <cellStyle name="40 % - Accent2 40 2" xfId="5998"/>
    <cellStyle name="40 % - Accent2 40 2 2" xfId="5999"/>
    <cellStyle name="40 % - Accent2 40 2 3" xfId="6000"/>
    <cellStyle name="40 % - Accent2 40 3" xfId="6001"/>
    <cellStyle name="40 % - Accent2 40 3 2" xfId="6002"/>
    <cellStyle name="40 % - Accent2 40 3 3" xfId="6003"/>
    <cellStyle name="40 % - Accent2 40 4" xfId="6004"/>
    <cellStyle name="40 % - Accent2 40 5" xfId="6005"/>
    <cellStyle name="40 % - Accent2 41" xfId="6006"/>
    <cellStyle name="40 % - Accent2 41 2" xfId="6007"/>
    <cellStyle name="40 % - Accent2 41 2 2" xfId="6008"/>
    <cellStyle name="40 % - Accent2 41 2 3" xfId="6009"/>
    <cellStyle name="40 % - Accent2 41 3" xfId="6010"/>
    <cellStyle name="40 % - Accent2 41 3 2" xfId="6011"/>
    <cellStyle name="40 % - Accent2 41 3 3" xfId="6012"/>
    <cellStyle name="40 % - Accent2 41 4" xfId="6013"/>
    <cellStyle name="40 % - Accent2 41 5" xfId="6014"/>
    <cellStyle name="40 % - Accent2 42" xfId="6015"/>
    <cellStyle name="40 % - Accent2 42 2" xfId="6016"/>
    <cellStyle name="40 % - Accent2 42 2 2" xfId="6017"/>
    <cellStyle name="40 % - Accent2 42 2 3" xfId="6018"/>
    <cellStyle name="40 % - Accent2 42 3" xfId="6019"/>
    <cellStyle name="40 % - Accent2 42 3 2" xfId="6020"/>
    <cellStyle name="40 % - Accent2 42 3 3" xfId="6021"/>
    <cellStyle name="40 % - Accent2 42 4" xfId="6022"/>
    <cellStyle name="40 % - Accent2 42 5" xfId="6023"/>
    <cellStyle name="40 % - Accent2 43" xfId="6024"/>
    <cellStyle name="40 % - Accent2 43 2" xfId="6025"/>
    <cellStyle name="40 % - Accent2 43 2 2" xfId="6026"/>
    <cellStyle name="40 % - Accent2 43 2 3" xfId="6027"/>
    <cellStyle name="40 % - Accent2 43 3" xfId="6028"/>
    <cellStyle name="40 % - Accent2 43 3 2" xfId="6029"/>
    <cellStyle name="40 % - Accent2 43 3 3" xfId="6030"/>
    <cellStyle name="40 % - Accent2 43 4" xfId="6031"/>
    <cellStyle name="40 % - Accent2 43 5" xfId="6032"/>
    <cellStyle name="40 % - Accent2 44" xfId="6033"/>
    <cellStyle name="40 % - Accent2 44 2" xfId="6034"/>
    <cellStyle name="40 % - Accent2 44 2 2" xfId="6035"/>
    <cellStyle name="40 % - Accent2 44 2 3" xfId="6036"/>
    <cellStyle name="40 % - Accent2 44 3" xfId="6037"/>
    <cellStyle name="40 % - Accent2 44 3 2" xfId="6038"/>
    <cellStyle name="40 % - Accent2 44 3 3" xfId="6039"/>
    <cellStyle name="40 % - Accent2 44 4" xfId="6040"/>
    <cellStyle name="40 % - Accent2 44 5" xfId="6041"/>
    <cellStyle name="40 % - Accent2 45" xfId="6042"/>
    <cellStyle name="40 % - Accent2 45 2" xfId="6043"/>
    <cellStyle name="40 % - Accent2 45 2 2" xfId="6044"/>
    <cellStyle name="40 % - Accent2 45 2 3" xfId="6045"/>
    <cellStyle name="40 % - Accent2 45 3" xfId="6046"/>
    <cellStyle name="40 % - Accent2 45 3 2" xfId="6047"/>
    <cellStyle name="40 % - Accent2 45 3 3" xfId="6048"/>
    <cellStyle name="40 % - Accent2 45 4" xfId="6049"/>
    <cellStyle name="40 % - Accent2 45 5" xfId="6050"/>
    <cellStyle name="40 % - Accent2 46" xfId="6051"/>
    <cellStyle name="40 % - Accent2 46 2" xfId="6052"/>
    <cellStyle name="40 % - Accent2 46 2 2" xfId="6053"/>
    <cellStyle name="40 % - Accent2 46 2 3" xfId="6054"/>
    <cellStyle name="40 % - Accent2 46 3" xfId="6055"/>
    <cellStyle name="40 % - Accent2 46 3 2" xfId="6056"/>
    <cellStyle name="40 % - Accent2 46 3 3" xfId="6057"/>
    <cellStyle name="40 % - Accent2 46 4" xfId="6058"/>
    <cellStyle name="40 % - Accent2 46 5" xfId="6059"/>
    <cellStyle name="40 % - Accent2 47" xfId="6060"/>
    <cellStyle name="40 % - Accent2 47 2" xfId="6061"/>
    <cellStyle name="40 % - Accent2 47 2 2" xfId="6062"/>
    <cellStyle name="40 % - Accent2 47 2 3" xfId="6063"/>
    <cellStyle name="40 % - Accent2 47 3" xfId="6064"/>
    <cellStyle name="40 % - Accent2 47 3 2" xfId="6065"/>
    <cellStyle name="40 % - Accent2 47 3 3" xfId="6066"/>
    <cellStyle name="40 % - Accent2 47 4" xfId="6067"/>
    <cellStyle name="40 % - Accent2 47 5" xfId="6068"/>
    <cellStyle name="40 % - Accent2 48" xfId="6069"/>
    <cellStyle name="40 % - Accent2 48 2" xfId="6070"/>
    <cellStyle name="40 % - Accent2 48 2 2" xfId="6071"/>
    <cellStyle name="40 % - Accent2 48 2 3" xfId="6072"/>
    <cellStyle name="40 % - Accent2 48 3" xfId="6073"/>
    <cellStyle name="40 % - Accent2 48 3 2" xfId="6074"/>
    <cellStyle name="40 % - Accent2 48 3 3" xfId="6075"/>
    <cellStyle name="40 % - Accent2 48 4" xfId="6076"/>
    <cellStyle name="40 % - Accent2 48 5" xfId="6077"/>
    <cellStyle name="40 % - Accent2 49" xfId="6078"/>
    <cellStyle name="40 % - Accent2 49 2" xfId="6079"/>
    <cellStyle name="40 % - Accent2 49 2 2" xfId="6080"/>
    <cellStyle name="40 % - Accent2 49 2 3" xfId="6081"/>
    <cellStyle name="40 % - Accent2 49 3" xfId="6082"/>
    <cellStyle name="40 % - Accent2 49 3 2" xfId="6083"/>
    <cellStyle name="40 % - Accent2 49 3 3" xfId="6084"/>
    <cellStyle name="40 % - Accent2 49 4" xfId="6085"/>
    <cellStyle name="40 % - Accent2 49 5" xfId="6086"/>
    <cellStyle name="40 % - Accent2 5" xfId="597"/>
    <cellStyle name="40 % - Accent2 5 2" xfId="598"/>
    <cellStyle name="40 % - Accent2 5 2 2" xfId="599"/>
    <cellStyle name="40 % - Accent2 5 2 3" xfId="6087"/>
    <cellStyle name="40 % - Accent2 5 3" xfId="600"/>
    <cellStyle name="40 % - Accent2 5 3 2" xfId="6088"/>
    <cellStyle name="40 % - Accent2 5 3 3" xfId="6089"/>
    <cellStyle name="40 % - Accent2 5 4" xfId="6090"/>
    <cellStyle name="40 % - Accent2 5 5" xfId="6091"/>
    <cellStyle name="40 % - Accent2 50" xfId="6092"/>
    <cellStyle name="40 % - Accent2 50 2" xfId="6093"/>
    <cellStyle name="40 % - Accent2 50 2 2" xfId="6094"/>
    <cellStyle name="40 % - Accent2 50 2 3" xfId="6095"/>
    <cellStyle name="40 % - Accent2 50 3" xfId="6096"/>
    <cellStyle name="40 % - Accent2 50 3 2" xfId="6097"/>
    <cellStyle name="40 % - Accent2 50 3 3" xfId="6098"/>
    <cellStyle name="40 % - Accent2 50 4" xfId="6099"/>
    <cellStyle name="40 % - Accent2 50 5" xfId="6100"/>
    <cellStyle name="40 % - Accent2 51" xfId="6101"/>
    <cellStyle name="40 % - Accent2 51 2" xfId="6102"/>
    <cellStyle name="40 % - Accent2 51 2 2" xfId="6103"/>
    <cellStyle name="40 % - Accent2 51 2 3" xfId="6104"/>
    <cellStyle name="40 % - Accent2 51 3" xfId="6105"/>
    <cellStyle name="40 % - Accent2 51 3 2" xfId="6106"/>
    <cellStyle name="40 % - Accent2 51 3 3" xfId="6107"/>
    <cellStyle name="40 % - Accent2 51 4" xfId="6108"/>
    <cellStyle name="40 % - Accent2 51 5" xfId="6109"/>
    <cellStyle name="40 % - Accent2 52" xfId="6110"/>
    <cellStyle name="40 % - Accent2 52 2" xfId="6111"/>
    <cellStyle name="40 % - Accent2 52 2 2" xfId="6112"/>
    <cellStyle name="40 % - Accent2 52 2 3" xfId="6113"/>
    <cellStyle name="40 % - Accent2 52 3" xfId="6114"/>
    <cellStyle name="40 % - Accent2 52 3 2" xfId="6115"/>
    <cellStyle name="40 % - Accent2 52 3 3" xfId="6116"/>
    <cellStyle name="40 % - Accent2 52 4" xfId="6117"/>
    <cellStyle name="40 % - Accent2 52 5" xfId="6118"/>
    <cellStyle name="40 % - Accent2 53" xfId="6119"/>
    <cellStyle name="40 % - Accent2 53 2" xfId="6120"/>
    <cellStyle name="40 % - Accent2 53 2 2" xfId="6121"/>
    <cellStyle name="40 % - Accent2 53 2 3" xfId="6122"/>
    <cellStyle name="40 % - Accent2 53 3" xfId="6123"/>
    <cellStyle name="40 % - Accent2 53 3 2" xfId="6124"/>
    <cellStyle name="40 % - Accent2 53 3 3" xfId="6125"/>
    <cellStyle name="40 % - Accent2 53 4" xfId="6126"/>
    <cellStyle name="40 % - Accent2 53 5" xfId="6127"/>
    <cellStyle name="40 % - Accent2 54" xfId="6128"/>
    <cellStyle name="40 % - Accent2 54 2" xfId="6129"/>
    <cellStyle name="40 % - Accent2 54 2 2" xfId="6130"/>
    <cellStyle name="40 % - Accent2 54 2 3" xfId="6131"/>
    <cellStyle name="40 % - Accent2 54 3" xfId="6132"/>
    <cellStyle name="40 % - Accent2 54 3 2" xfId="6133"/>
    <cellStyle name="40 % - Accent2 54 3 3" xfId="6134"/>
    <cellStyle name="40 % - Accent2 54 4" xfId="6135"/>
    <cellStyle name="40 % - Accent2 54 5" xfId="6136"/>
    <cellStyle name="40 % - Accent2 55" xfId="6137"/>
    <cellStyle name="40 % - Accent2 55 2" xfId="6138"/>
    <cellStyle name="40 % - Accent2 55 2 2" xfId="6139"/>
    <cellStyle name="40 % - Accent2 55 2 3" xfId="6140"/>
    <cellStyle name="40 % - Accent2 55 3" xfId="6141"/>
    <cellStyle name="40 % - Accent2 55 3 2" xfId="6142"/>
    <cellStyle name="40 % - Accent2 55 3 3" xfId="6143"/>
    <cellStyle name="40 % - Accent2 55 4" xfId="6144"/>
    <cellStyle name="40 % - Accent2 55 5" xfId="6145"/>
    <cellStyle name="40 % - Accent2 56" xfId="6146"/>
    <cellStyle name="40 % - Accent2 56 2" xfId="6147"/>
    <cellStyle name="40 % - Accent2 56 2 2" xfId="6148"/>
    <cellStyle name="40 % - Accent2 56 2 3" xfId="6149"/>
    <cellStyle name="40 % - Accent2 56 3" xfId="6150"/>
    <cellStyle name="40 % - Accent2 56 3 2" xfId="6151"/>
    <cellStyle name="40 % - Accent2 56 3 3" xfId="6152"/>
    <cellStyle name="40 % - Accent2 56 4" xfId="6153"/>
    <cellStyle name="40 % - Accent2 56 5" xfId="6154"/>
    <cellStyle name="40 % - Accent2 57" xfId="6155"/>
    <cellStyle name="40 % - Accent2 57 2" xfId="6156"/>
    <cellStyle name="40 % - Accent2 57 2 2" xfId="6157"/>
    <cellStyle name="40 % - Accent2 57 2 3" xfId="6158"/>
    <cellStyle name="40 % - Accent2 57 3" xfId="6159"/>
    <cellStyle name="40 % - Accent2 57 3 2" xfId="6160"/>
    <cellStyle name="40 % - Accent2 57 3 3" xfId="6161"/>
    <cellStyle name="40 % - Accent2 57 4" xfId="6162"/>
    <cellStyle name="40 % - Accent2 57 5" xfId="6163"/>
    <cellStyle name="40 % - Accent2 58" xfId="6164"/>
    <cellStyle name="40 % - Accent2 58 2" xfId="6165"/>
    <cellStyle name="40 % - Accent2 58 2 2" xfId="6166"/>
    <cellStyle name="40 % - Accent2 58 2 3" xfId="6167"/>
    <cellStyle name="40 % - Accent2 58 3" xfId="6168"/>
    <cellStyle name="40 % - Accent2 58 3 2" xfId="6169"/>
    <cellStyle name="40 % - Accent2 58 3 3" xfId="6170"/>
    <cellStyle name="40 % - Accent2 58 4" xfId="6171"/>
    <cellStyle name="40 % - Accent2 58 5" xfId="6172"/>
    <cellStyle name="40 % - Accent2 59" xfId="6173"/>
    <cellStyle name="40 % - Accent2 59 2" xfId="6174"/>
    <cellStyle name="40 % - Accent2 59 2 2" xfId="6175"/>
    <cellStyle name="40 % - Accent2 59 2 3" xfId="6176"/>
    <cellStyle name="40 % - Accent2 59 3" xfId="6177"/>
    <cellStyle name="40 % - Accent2 59 3 2" xfId="6178"/>
    <cellStyle name="40 % - Accent2 59 3 3" xfId="6179"/>
    <cellStyle name="40 % - Accent2 59 4" xfId="6180"/>
    <cellStyle name="40 % - Accent2 59 5" xfId="6181"/>
    <cellStyle name="40 % - Accent2 6" xfId="601"/>
    <cellStyle name="40 % - Accent2 6 2" xfId="602"/>
    <cellStyle name="40 % - Accent2 6 2 2" xfId="603"/>
    <cellStyle name="40 % - Accent2 6 2 3" xfId="6182"/>
    <cellStyle name="40 % - Accent2 6 3" xfId="604"/>
    <cellStyle name="40 % - Accent2 6 3 2" xfId="6183"/>
    <cellStyle name="40 % - Accent2 6 3 3" xfId="6184"/>
    <cellStyle name="40 % - Accent2 6 4" xfId="6185"/>
    <cellStyle name="40 % - Accent2 6 5" xfId="6186"/>
    <cellStyle name="40 % - Accent2 60" xfId="6187"/>
    <cellStyle name="40 % - Accent2 60 2" xfId="6188"/>
    <cellStyle name="40 % - Accent2 60 2 2" xfId="6189"/>
    <cellStyle name="40 % - Accent2 60 2 3" xfId="6190"/>
    <cellStyle name="40 % - Accent2 60 3" xfId="6191"/>
    <cellStyle name="40 % - Accent2 60 3 2" xfId="6192"/>
    <cellStyle name="40 % - Accent2 60 3 3" xfId="6193"/>
    <cellStyle name="40 % - Accent2 60 4" xfId="6194"/>
    <cellStyle name="40 % - Accent2 60 5" xfId="6195"/>
    <cellStyle name="40 % - Accent2 61" xfId="6196"/>
    <cellStyle name="40 % - Accent2 61 2" xfId="6197"/>
    <cellStyle name="40 % - Accent2 61 2 2" xfId="6198"/>
    <cellStyle name="40 % - Accent2 61 2 3" xfId="6199"/>
    <cellStyle name="40 % - Accent2 61 3" xfId="6200"/>
    <cellStyle name="40 % - Accent2 61 3 2" xfId="6201"/>
    <cellStyle name="40 % - Accent2 61 3 3" xfId="6202"/>
    <cellStyle name="40 % - Accent2 61 4" xfId="6203"/>
    <cellStyle name="40 % - Accent2 61 5" xfId="6204"/>
    <cellStyle name="40 % - Accent2 62" xfId="6205"/>
    <cellStyle name="40 % - Accent2 62 2" xfId="6206"/>
    <cellStyle name="40 % - Accent2 62 2 2" xfId="6207"/>
    <cellStyle name="40 % - Accent2 62 2 3" xfId="6208"/>
    <cellStyle name="40 % - Accent2 62 3" xfId="6209"/>
    <cellStyle name="40 % - Accent2 62 3 2" xfId="6210"/>
    <cellStyle name="40 % - Accent2 62 3 3" xfId="6211"/>
    <cellStyle name="40 % - Accent2 62 4" xfId="6212"/>
    <cellStyle name="40 % - Accent2 62 5" xfId="6213"/>
    <cellStyle name="40 % - Accent2 63" xfId="6214"/>
    <cellStyle name="40 % - Accent2 63 2" xfId="6215"/>
    <cellStyle name="40 % - Accent2 63 2 2" xfId="6216"/>
    <cellStyle name="40 % - Accent2 63 2 3" xfId="6217"/>
    <cellStyle name="40 % - Accent2 63 3" xfId="6218"/>
    <cellStyle name="40 % - Accent2 63 3 2" xfId="6219"/>
    <cellStyle name="40 % - Accent2 63 3 3" xfId="6220"/>
    <cellStyle name="40 % - Accent2 63 4" xfId="6221"/>
    <cellStyle name="40 % - Accent2 63 5" xfId="6222"/>
    <cellStyle name="40 % - Accent2 64" xfId="6223"/>
    <cellStyle name="40 % - Accent2 64 2" xfId="6224"/>
    <cellStyle name="40 % - Accent2 64 2 2" xfId="6225"/>
    <cellStyle name="40 % - Accent2 64 2 3" xfId="6226"/>
    <cellStyle name="40 % - Accent2 64 3" xfId="6227"/>
    <cellStyle name="40 % - Accent2 64 3 2" xfId="6228"/>
    <cellStyle name="40 % - Accent2 64 3 3" xfId="6229"/>
    <cellStyle name="40 % - Accent2 64 4" xfId="6230"/>
    <cellStyle name="40 % - Accent2 64 5" xfId="6231"/>
    <cellStyle name="40 % - Accent2 65" xfId="6232"/>
    <cellStyle name="40 % - Accent2 65 2" xfId="6233"/>
    <cellStyle name="40 % - Accent2 65 2 2" xfId="6234"/>
    <cellStyle name="40 % - Accent2 65 2 3" xfId="6235"/>
    <cellStyle name="40 % - Accent2 65 3" xfId="6236"/>
    <cellStyle name="40 % - Accent2 65 3 2" xfId="6237"/>
    <cellStyle name="40 % - Accent2 65 3 3" xfId="6238"/>
    <cellStyle name="40 % - Accent2 65 4" xfId="6239"/>
    <cellStyle name="40 % - Accent2 65 5" xfId="6240"/>
    <cellStyle name="40 % - Accent2 66" xfId="6241"/>
    <cellStyle name="40 % - Accent2 66 2" xfId="6242"/>
    <cellStyle name="40 % - Accent2 66 2 2" xfId="6243"/>
    <cellStyle name="40 % - Accent2 66 2 3" xfId="6244"/>
    <cellStyle name="40 % - Accent2 66 3" xfId="6245"/>
    <cellStyle name="40 % - Accent2 66 3 2" xfId="6246"/>
    <cellStyle name="40 % - Accent2 66 3 3" xfId="6247"/>
    <cellStyle name="40 % - Accent2 66 4" xfId="6248"/>
    <cellStyle name="40 % - Accent2 66 5" xfId="6249"/>
    <cellStyle name="40 % - Accent2 67" xfId="6250"/>
    <cellStyle name="40 % - Accent2 67 2" xfId="6251"/>
    <cellStyle name="40 % - Accent2 67 2 2" xfId="6252"/>
    <cellStyle name="40 % - Accent2 67 2 3" xfId="6253"/>
    <cellStyle name="40 % - Accent2 67 3" xfId="6254"/>
    <cellStyle name="40 % - Accent2 67 3 2" xfId="6255"/>
    <cellStyle name="40 % - Accent2 67 3 3" xfId="6256"/>
    <cellStyle name="40 % - Accent2 67 4" xfId="6257"/>
    <cellStyle name="40 % - Accent2 67 5" xfId="6258"/>
    <cellStyle name="40 % - Accent2 68" xfId="6259"/>
    <cellStyle name="40 % - Accent2 68 2" xfId="6260"/>
    <cellStyle name="40 % - Accent2 68 2 2" xfId="6261"/>
    <cellStyle name="40 % - Accent2 68 2 3" xfId="6262"/>
    <cellStyle name="40 % - Accent2 68 3" xfId="6263"/>
    <cellStyle name="40 % - Accent2 68 3 2" xfId="6264"/>
    <cellStyle name="40 % - Accent2 68 3 3" xfId="6265"/>
    <cellStyle name="40 % - Accent2 68 4" xfId="6266"/>
    <cellStyle name="40 % - Accent2 68 5" xfId="6267"/>
    <cellStyle name="40 % - Accent2 69" xfId="6268"/>
    <cellStyle name="40 % - Accent2 69 2" xfId="6269"/>
    <cellStyle name="40 % - Accent2 69 2 2" xfId="6270"/>
    <cellStyle name="40 % - Accent2 69 2 3" xfId="6271"/>
    <cellStyle name="40 % - Accent2 69 3" xfId="6272"/>
    <cellStyle name="40 % - Accent2 69 3 2" xfId="6273"/>
    <cellStyle name="40 % - Accent2 69 3 3" xfId="6274"/>
    <cellStyle name="40 % - Accent2 69 4" xfId="6275"/>
    <cellStyle name="40 % - Accent2 69 5" xfId="6276"/>
    <cellStyle name="40 % - Accent2 7" xfId="605"/>
    <cellStyle name="40 % - Accent2 7 2" xfId="606"/>
    <cellStyle name="40 % - Accent2 7 2 2" xfId="607"/>
    <cellStyle name="40 % - Accent2 7 2 3" xfId="6277"/>
    <cellStyle name="40 % - Accent2 7 3" xfId="608"/>
    <cellStyle name="40 % - Accent2 7 3 2" xfId="6278"/>
    <cellStyle name="40 % - Accent2 7 3 3" xfId="6279"/>
    <cellStyle name="40 % - Accent2 7 4" xfId="6280"/>
    <cellStyle name="40 % - Accent2 7 5" xfId="6281"/>
    <cellStyle name="40 % - Accent2 70" xfId="6282"/>
    <cellStyle name="40 % - Accent2 70 2" xfId="6283"/>
    <cellStyle name="40 % - Accent2 70 2 2" xfId="6284"/>
    <cellStyle name="40 % - Accent2 70 2 3" xfId="6285"/>
    <cellStyle name="40 % - Accent2 70 3" xfId="6286"/>
    <cellStyle name="40 % - Accent2 70 3 2" xfId="6287"/>
    <cellStyle name="40 % - Accent2 70 3 3" xfId="6288"/>
    <cellStyle name="40 % - Accent2 70 4" xfId="6289"/>
    <cellStyle name="40 % - Accent2 70 5" xfId="6290"/>
    <cellStyle name="40 % - Accent2 71" xfId="6291"/>
    <cellStyle name="40 % - Accent2 71 2" xfId="6292"/>
    <cellStyle name="40 % - Accent2 71 2 2" xfId="6293"/>
    <cellStyle name="40 % - Accent2 71 2 3" xfId="6294"/>
    <cellStyle name="40 % - Accent2 71 3" xfId="6295"/>
    <cellStyle name="40 % - Accent2 71 3 2" xfId="6296"/>
    <cellStyle name="40 % - Accent2 71 3 3" xfId="6297"/>
    <cellStyle name="40 % - Accent2 71 4" xfId="6298"/>
    <cellStyle name="40 % - Accent2 71 5" xfId="6299"/>
    <cellStyle name="40 % - Accent2 72" xfId="6300"/>
    <cellStyle name="40 % - Accent2 72 2" xfId="6301"/>
    <cellStyle name="40 % - Accent2 72 2 2" xfId="6302"/>
    <cellStyle name="40 % - Accent2 72 2 3" xfId="6303"/>
    <cellStyle name="40 % - Accent2 72 3" xfId="6304"/>
    <cellStyle name="40 % - Accent2 72 3 2" xfId="6305"/>
    <cellStyle name="40 % - Accent2 72 3 3" xfId="6306"/>
    <cellStyle name="40 % - Accent2 72 4" xfId="6307"/>
    <cellStyle name="40 % - Accent2 72 5" xfId="6308"/>
    <cellStyle name="40 % - Accent2 73" xfId="6309"/>
    <cellStyle name="40 % - Accent2 73 2" xfId="6310"/>
    <cellStyle name="40 % - Accent2 73 2 2" xfId="6311"/>
    <cellStyle name="40 % - Accent2 73 2 3" xfId="6312"/>
    <cellStyle name="40 % - Accent2 73 3" xfId="6313"/>
    <cellStyle name="40 % - Accent2 73 3 2" xfId="6314"/>
    <cellStyle name="40 % - Accent2 73 3 3" xfId="6315"/>
    <cellStyle name="40 % - Accent2 73 4" xfId="6316"/>
    <cellStyle name="40 % - Accent2 73 5" xfId="6317"/>
    <cellStyle name="40 % - Accent2 74" xfId="6318"/>
    <cellStyle name="40 % - Accent2 74 2" xfId="6319"/>
    <cellStyle name="40 % - Accent2 74 3" xfId="6320"/>
    <cellStyle name="40 % - Accent2 75" xfId="6321"/>
    <cellStyle name="40 % - Accent2 75 2" xfId="6322"/>
    <cellStyle name="40 % - Accent2 75 3" xfId="6323"/>
    <cellStyle name="40 % - Accent2 76" xfId="6324"/>
    <cellStyle name="40 % - Accent2 76 2" xfId="6325"/>
    <cellStyle name="40 % - Accent2 76 3" xfId="6326"/>
    <cellStyle name="40 % - Accent2 77" xfId="6327"/>
    <cellStyle name="40 % - Accent2 77 2" xfId="6328"/>
    <cellStyle name="40 % - Accent2 77 3" xfId="6329"/>
    <cellStyle name="40 % - Accent2 78" xfId="6330"/>
    <cellStyle name="40 % - Accent2 79" xfId="6331"/>
    <cellStyle name="40 % - Accent2 8" xfId="609"/>
    <cellStyle name="40 % - Accent2 8 2" xfId="610"/>
    <cellStyle name="40 % - Accent2 8 2 2" xfId="611"/>
    <cellStyle name="40 % - Accent2 8 2 3" xfId="6332"/>
    <cellStyle name="40 % - Accent2 8 3" xfId="612"/>
    <cellStyle name="40 % - Accent2 8 3 2" xfId="6333"/>
    <cellStyle name="40 % - Accent2 8 3 3" xfId="6334"/>
    <cellStyle name="40 % - Accent2 8 4" xfId="6335"/>
    <cellStyle name="40 % - Accent2 8 5" xfId="6336"/>
    <cellStyle name="40 % - Accent2 80" xfId="6337"/>
    <cellStyle name="40 % - Accent2 81" xfId="6338"/>
    <cellStyle name="40 % - Accent2 82" xfId="6339"/>
    <cellStyle name="40 % - Accent2 83" xfId="6340"/>
    <cellStyle name="40 % - Accent2 84" xfId="6341"/>
    <cellStyle name="40 % - Accent2 85" xfId="6342"/>
    <cellStyle name="40 % - Accent2 86" xfId="6343"/>
    <cellStyle name="40 % - Accent2 87" xfId="6344"/>
    <cellStyle name="40 % - Accent2 88" xfId="6345"/>
    <cellStyle name="40 % - Accent2 89" xfId="6346"/>
    <cellStyle name="40 % - Accent2 9" xfId="613"/>
    <cellStyle name="40 % - Accent2 9 2" xfId="614"/>
    <cellStyle name="40 % - Accent2 9 2 2" xfId="615"/>
    <cellStyle name="40 % - Accent2 9 2 3" xfId="6347"/>
    <cellStyle name="40 % - Accent2 9 3" xfId="616"/>
    <cellStyle name="40 % - Accent2 9 3 2" xfId="6348"/>
    <cellStyle name="40 % - Accent2 9 3 3" xfId="6349"/>
    <cellStyle name="40 % - Accent2 9 4" xfId="6350"/>
    <cellStyle name="40 % - Accent2 9 5" xfId="6351"/>
    <cellStyle name="40 % - Accent2 90" xfId="6352"/>
    <cellStyle name="40 % - Accent2 91" xfId="6353"/>
    <cellStyle name="40 % - Accent2 92" xfId="6354"/>
    <cellStyle name="40 % - Accent2 93" xfId="6355"/>
    <cellStyle name="40 % - Accent2 94" xfId="6356"/>
    <cellStyle name="40 % - Accent2 95" xfId="6357"/>
    <cellStyle name="40 % - Accent2 96" xfId="6358"/>
    <cellStyle name="40 % - Accent2 97" xfId="6359"/>
    <cellStyle name="40 % - Accent2 98" xfId="6360"/>
    <cellStyle name="40 % - Accent2 99" xfId="6361"/>
    <cellStyle name="40 % - Accent3 10" xfId="617"/>
    <cellStyle name="40 % - Accent3 10 2" xfId="618"/>
    <cellStyle name="40 % - Accent3 10 2 2" xfId="619"/>
    <cellStyle name="40 % - Accent3 10 2 3" xfId="6362"/>
    <cellStyle name="40 % - Accent3 10 3" xfId="620"/>
    <cellStyle name="40 % - Accent3 10 3 2" xfId="6363"/>
    <cellStyle name="40 % - Accent3 10 3 3" xfId="6364"/>
    <cellStyle name="40 % - Accent3 10 4" xfId="6365"/>
    <cellStyle name="40 % - Accent3 10 5" xfId="6366"/>
    <cellStyle name="40 % - Accent3 100" xfId="6367"/>
    <cellStyle name="40 % - Accent3 101" xfId="6368"/>
    <cellStyle name="40 % - Accent3 102" xfId="6369"/>
    <cellStyle name="40 % - Accent3 103" xfId="6370"/>
    <cellStyle name="40 % - Accent3 104" xfId="6371"/>
    <cellStyle name="40 % - Accent3 105" xfId="6372"/>
    <cellStyle name="40 % - Accent3 106" xfId="6373"/>
    <cellStyle name="40 % - Accent3 107" xfId="6374"/>
    <cellStyle name="40 % - Accent3 108" xfId="6375"/>
    <cellStyle name="40 % - Accent3 109" xfId="6376"/>
    <cellStyle name="40 % - Accent3 11" xfId="621"/>
    <cellStyle name="40 % - Accent3 11 2" xfId="622"/>
    <cellStyle name="40 % - Accent3 11 2 2" xfId="623"/>
    <cellStyle name="40 % - Accent3 11 2 3" xfId="6377"/>
    <cellStyle name="40 % - Accent3 11 3" xfId="624"/>
    <cellStyle name="40 % - Accent3 11 3 2" xfId="6378"/>
    <cellStyle name="40 % - Accent3 11 3 3" xfId="6379"/>
    <cellStyle name="40 % - Accent3 11 4" xfId="6380"/>
    <cellStyle name="40 % - Accent3 11 5" xfId="6381"/>
    <cellStyle name="40 % - Accent3 110" xfId="6382"/>
    <cellStyle name="40 % - Accent3 111" xfId="6383"/>
    <cellStyle name="40 % - Accent3 112" xfId="6384"/>
    <cellStyle name="40 % - Accent3 113" xfId="6385"/>
    <cellStyle name="40 % - Accent3 114" xfId="6386"/>
    <cellStyle name="40 % - Accent3 115" xfId="6387"/>
    <cellStyle name="40 % - Accent3 116" xfId="6388"/>
    <cellStyle name="40 % - Accent3 117" xfId="6389"/>
    <cellStyle name="40 % - Accent3 118" xfId="6390"/>
    <cellStyle name="40 % - Accent3 119" xfId="6391"/>
    <cellStyle name="40 % - Accent3 12" xfId="625"/>
    <cellStyle name="40 % - Accent3 12 2" xfId="626"/>
    <cellStyle name="40 % - Accent3 12 2 2" xfId="627"/>
    <cellStyle name="40 % - Accent3 12 2 3" xfId="6392"/>
    <cellStyle name="40 % - Accent3 12 3" xfId="628"/>
    <cellStyle name="40 % - Accent3 12 3 2" xfId="6393"/>
    <cellStyle name="40 % - Accent3 12 3 3" xfId="6394"/>
    <cellStyle name="40 % - Accent3 12 4" xfId="6395"/>
    <cellStyle name="40 % - Accent3 12 5" xfId="6396"/>
    <cellStyle name="40 % - Accent3 120" xfId="6397"/>
    <cellStyle name="40 % - Accent3 121" xfId="6398"/>
    <cellStyle name="40 % - Accent3 122" xfId="6399"/>
    <cellStyle name="40 % - Accent3 123" xfId="6400"/>
    <cellStyle name="40 % - Accent3 124" xfId="6401"/>
    <cellStyle name="40 % - Accent3 125" xfId="6402"/>
    <cellStyle name="40 % - Accent3 126" xfId="6403"/>
    <cellStyle name="40 % - Accent3 127" xfId="6404"/>
    <cellStyle name="40 % - Accent3 128" xfId="6405"/>
    <cellStyle name="40 % - Accent3 129" xfId="6406"/>
    <cellStyle name="40 % - Accent3 13" xfId="629"/>
    <cellStyle name="40 % - Accent3 13 2" xfId="630"/>
    <cellStyle name="40 % - Accent3 13 2 2" xfId="631"/>
    <cellStyle name="40 % - Accent3 13 2 3" xfId="6407"/>
    <cellStyle name="40 % - Accent3 13 3" xfId="632"/>
    <cellStyle name="40 % - Accent3 13 3 2" xfId="6408"/>
    <cellStyle name="40 % - Accent3 13 3 3" xfId="6409"/>
    <cellStyle name="40 % - Accent3 13 4" xfId="6410"/>
    <cellStyle name="40 % - Accent3 13 5" xfId="6411"/>
    <cellStyle name="40 % - Accent3 130" xfId="6412"/>
    <cellStyle name="40 % - Accent3 131" xfId="6413"/>
    <cellStyle name="40 % - Accent3 132" xfId="6414"/>
    <cellStyle name="40 % - Accent3 133" xfId="6415"/>
    <cellStyle name="40 % - Accent3 134" xfId="6416"/>
    <cellStyle name="40 % - Accent3 135" xfId="6417"/>
    <cellStyle name="40 % - Accent3 136" xfId="6418"/>
    <cellStyle name="40 % - Accent3 137" xfId="6419"/>
    <cellStyle name="40 % - Accent3 138" xfId="6420"/>
    <cellStyle name="40 % - Accent3 139" xfId="6421"/>
    <cellStyle name="40 % - Accent3 14" xfId="633"/>
    <cellStyle name="40 % - Accent3 14 2" xfId="634"/>
    <cellStyle name="40 % - Accent3 14 2 2" xfId="635"/>
    <cellStyle name="40 % - Accent3 14 2 3" xfId="6422"/>
    <cellStyle name="40 % - Accent3 14 3" xfId="636"/>
    <cellStyle name="40 % - Accent3 14 3 2" xfId="6423"/>
    <cellStyle name="40 % - Accent3 14 3 3" xfId="6424"/>
    <cellStyle name="40 % - Accent3 14 4" xfId="6425"/>
    <cellStyle name="40 % - Accent3 14 5" xfId="6426"/>
    <cellStyle name="40 % - Accent3 140" xfId="6427"/>
    <cellStyle name="40 % - Accent3 15" xfId="637"/>
    <cellStyle name="40 % - Accent3 15 2" xfId="638"/>
    <cellStyle name="40 % - Accent3 15 2 2" xfId="639"/>
    <cellStyle name="40 % - Accent3 15 2 3" xfId="6428"/>
    <cellStyle name="40 % - Accent3 15 3" xfId="640"/>
    <cellStyle name="40 % - Accent3 15 3 2" xfId="6429"/>
    <cellStyle name="40 % - Accent3 15 3 3" xfId="6430"/>
    <cellStyle name="40 % - Accent3 15 4" xfId="6431"/>
    <cellStyle name="40 % - Accent3 15 5" xfId="6432"/>
    <cellStyle name="40 % - Accent3 16" xfId="641"/>
    <cellStyle name="40 % - Accent3 16 2" xfId="642"/>
    <cellStyle name="40 % - Accent3 16 2 2" xfId="643"/>
    <cellStyle name="40 % - Accent3 16 2 3" xfId="6433"/>
    <cellStyle name="40 % - Accent3 16 3" xfId="644"/>
    <cellStyle name="40 % - Accent3 16 3 2" xfId="6434"/>
    <cellStyle name="40 % - Accent3 16 3 3" xfId="6435"/>
    <cellStyle name="40 % - Accent3 16 4" xfId="6436"/>
    <cellStyle name="40 % - Accent3 16 5" xfId="6437"/>
    <cellStyle name="40 % - Accent3 17" xfId="645"/>
    <cellStyle name="40 % - Accent3 17 2" xfId="646"/>
    <cellStyle name="40 % - Accent3 17 2 2" xfId="647"/>
    <cellStyle name="40 % - Accent3 17 2 3" xfId="6438"/>
    <cellStyle name="40 % - Accent3 17 3" xfId="648"/>
    <cellStyle name="40 % - Accent3 17 3 2" xfId="6439"/>
    <cellStyle name="40 % - Accent3 17 3 3" xfId="6440"/>
    <cellStyle name="40 % - Accent3 17 4" xfId="6441"/>
    <cellStyle name="40 % - Accent3 17 5" xfId="6442"/>
    <cellStyle name="40 % - Accent3 18" xfId="649"/>
    <cellStyle name="40 % - Accent3 18 2" xfId="650"/>
    <cellStyle name="40 % - Accent3 18 2 2" xfId="651"/>
    <cellStyle name="40 % - Accent3 18 2 3" xfId="6443"/>
    <cellStyle name="40 % - Accent3 18 3" xfId="652"/>
    <cellStyle name="40 % - Accent3 18 3 2" xfId="6444"/>
    <cellStyle name="40 % - Accent3 18 3 3" xfId="6445"/>
    <cellStyle name="40 % - Accent3 18 4" xfId="6446"/>
    <cellStyle name="40 % - Accent3 18 5" xfId="6447"/>
    <cellStyle name="40 % - Accent3 19" xfId="6448"/>
    <cellStyle name="40 % - Accent3 19 2" xfId="6449"/>
    <cellStyle name="40 % - Accent3 19 2 2" xfId="6450"/>
    <cellStyle name="40 % - Accent3 19 2 3" xfId="6451"/>
    <cellStyle name="40 % - Accent3 19 3" xfId="6452"/>
    <cellStyle name="40 % - Accent3 19 3 2" xfId="6453"/>
    <cellStyle name="40 % - Accent3 19 3 3" xfId="6454"/>
    <cellStyle name="40 % - Accent3 19 4" xfId="6455"/>
    <cellStyle name="40 % - Accent3 19 5" xfId="6456"/>
    <cellStyle name="40 % - Accent3 2" xfId="653"/>
    <cellStyle name="40 % - Accent3 2 2" xfId="654"/>
    <cellStyle name="40 % - Accent3 2 2 2" xfId="655"/>
    <cellStyle name="40 % - Accent3 2 2 3" xfId="6457"/>
    <cellStyle name="40 % - Accent3 2 3" xfId="656"/>
    <cellStyle name="40 % - Accent3 2 3 2" xfId="6458"/>
    <cellStyle name="40 % - Accent3 2 3 3" xfId="6459"/>
    <cellStyle name="40 % - Accent3 2 4" xfId="6460"/>
    <cellStyle name="40 % - Accent3 2 5" xfId="6461"/>
    <cellStyle name="40 % - Accent3 20" xfId="6462"/>
    <cellStyle name="40 % - Accent3 20 2" xfId="6463"/>
    <cellStyle name="40 % - Accent3 20 2 2" xfId="6464"/>
    <cellStyle name="40 % - Accent3 20 2 3" xfId="6465"/>
    <cellStyle name="40 % - Accent3 20 3" xfId="6466"/>
    <cellStyle name="40 % - Accent3 20 3 2" xfId="6467"/>
    <cellStyle name="40 % - Accent3 20 3 3" xfId="6468"/>
    <cellStyle name="40 % - Accent3 20 4" xfId="6469"/>
    <cellStyle name="40 % - Accent3 20 5" xfId="6470"/>
    <cellStyle name="40 % - Accent3 21" xfId="6471"/>
    <cellStyle name="40 % - Accent3 21 2" xfId="6472"/>
    <cellStyle name="40 % - Accent3 21 2 2" xfId="6473"/>
    <cellStyle name="40 % - Accent3 21 2 3" xfId="6474"/>
    <cellStyle name="40 % - Accent3 21 3" xfId="6475"/>
    <cellStyle name="40 % - Accent3 21 3 2" xfId="6476"/>
    <cellStyle name="40 % - Accent3 21 3 3" xfId="6477"/>
    <cellStyle name="40 % - Accent3 21 4" xfId="6478"/>
    <cellStyle name="40 % - Accent3 21 5" xfId="6479"/>
    <cellStyle name="40 % - Accent3 22" xfId="6480"/>
    <cellStyle name="40 % - Accent3 22 2" xfId="6481"/>
    <cellStyle name="40 % - Accent3 22 2 2" xfId="6482"/>
    <cellStyle name="40 % - Accent3 22 2 3" xfId="6483"/>
    <cellStyle name="40 % - Accent3 22 3" xfId="6484"/>
    <cellStyle name="40 % - Accent3 22 3 2" xfId="6485"/>
    <cellStyle name="40 % - Accent3 22 3 3" xfId="6486"/>
    <cellStyle name="40 % - Accent3 22 4" xfId="6487"/>
    <cellStyle name="40 % - Accent3 22 5" xfId="6488"/>
    <cellStyle name="40 % - Accent3 23" xfId="6489"/>
    <cellStyle name="40 % - Accent3 23 2" xfId="6490"/>
    <cellStyle name="40 % - Accent3 23 2 2" xfId="6491"/>
    <cellStyle name="40 % - Accent3 23 2 3" xfId="6492"/>
    <cellStyle name="40 % - Accent3 23 3" xfId="6493"/>
    <cellStyle name="40 % - Accent3 23 3 2" xfId="6494"/>
    <cellStyle name="40 % - Accent3 23 3 3" xfId="6495"/>
    <cellStyle name="40 % - Accent3 23 4" xfId="6496"/>
    <cellStyle name="40 % - Accent3 23 5" xfId="6497"/>
    <cellStyle name="40 % - Accent3 24" xfId="6498"/>
    <cellStyle name="40 % - Accent3 24 2" xfId="6499"/>
    <cellStyle name="40 % - Accent3 24 2 2" xfId="6500"/>
    <cellStyle name="40 % - Accent3 24 2 3" xfId="6501"/>
    <cellStyle name="40 % - Accent3 24 3" xfId="6502"/>
    <cellStyle name="40 % - Accent3 24 3 2" xfId="6503"/>
    <cellStyle name="40 % - Accent3 24 3 3" xfId="6504"/>
    <cellStyle name="40 % - Accent3 24 4" xfId="6505"/>
    <cellStyle name="40 % - Accent3 24 5" xfId="6506"/>
    <cellStyle name="40 % - Accent3 25" xfId="6507"/>
    <cellStyle name="40 % - Accent3 25 2" xfId="6508"/>
    <cellStyle name="40 % - Accent3 25 2 2" xfId="6509"/>
    <cellStyle name="40 % - Accent3 25 2 3" xfId="6510"/>
    <cellStyle name="40 % - Accent3 25 3" xfId="6511"/>
    <cellStyle name="40 % - Accent3 25 3 2" xfId="6512"/>
    <cellStyle name="40 % - Accent3 25 3 3" xfId="6513"/>
    <cellStyle name="40 % - Accent3 25 4" xfId="6514"/>
    <cellStyle name="40 % - Accent3 25 5" xfId="6515"/>
    <cellStyle name="40 % - Accent3 26" xfId="6516"/>
    <cellStyle name="40 % - Accent3 26 2" xfId="6517"/>
    <cellStyle name="40 % - Accent3 26 2 2" xfId="6518"/>
    <cellStyle name="40 % - Accent3 26 2 3" xfId="6519"/>
    <cellStyle name="40 % - Accent3 26 3" xfId="6520"/>
    <cellStyle name="40 % - Accent3 26 3 2" xfId="6521"/>
    <cellStyle name="40 % - Accent3 26 3 3" xfId="6522"/>
    <cellStyle name="40 % - Accent3 26 4" xfId="6523"/>
    <cellStyle name="40 % - Accent3 26 5" xfId="6524"/>
    <cellStyle name="40 % - Accent3 27" xfId="6525"/>
    <cellStyle name="40 % - Accent3 27 2" xfId="6526"/>
    <cellStyle name="40 % - Accent3 27 2 2" xfId="6527"/>
    <cellStyle name="40 % - Accent3 27 2 3" xfId="6528"/>
    <cellStyle name="40 % - Accent3 27 3" xfId="6529"/>
    <cellStyle name="40 % - Accent3 27 3 2" xfId="6530"/>
    <cellStyle name="40 % - Accent3 27 3 3" xfId="6531"/>
    <cellStyle name="40 % - Accent3 27 4" xfId="6532"/>
    <cellStyle name="40 % - Accent3 27 5" xfId="6533"/>
    <cellStyle name="40 % - Accent3 28" xfId="6534"/>
    <cellStyle name="40 % - Accent3 28 2" xfId="6535"/>
    <cellStyle name="40 % - Accent3 28 2 2" xfId="6536"/>
    <cellStyle name="40 % - Accent3 28 2 3" xfId="6537"/>
    <cellStyle name="40 % - Accent3 28 3" xfId="6538"/>
    <cellStyle name="40 % - Accent3 28 3 2" xfId="6539"/>
    <cellStyle name="40 % - Accent3 28 3 3" xfId="6540"/>
    <cellStyle name="40 % - Accent3 28 4" xfId="6541"/>
    <cellStyle name="40 % - Accent3 28 5" xfId="6542"/>
    <cellStyle name="40 % - Accent3 29" xfId="6543"/>
    <cellStyle name="40 % - Accent3 29 2" xfId="6544"/>
    <cellStyle name="40 % - Accent3 29 2 2" xfId="6545"/>
    <cellStyle name="40 % - Accent3 29 2 3" xfId="6546"/>
    <cellStyle name="40 % - Accent3 29 3" xfId="6547"/>
    <cellStyle name="40 % - Accent3 29 3 2" xfId="6548"/>
    <cellStyle name="40 % - Accent3 29 3 3" xfId="6549"/>
    <cellStyle name="40 % - Accent3 29 4" xfId="6550"/>
    <cellStyle name="40 % - Accent3 29 5" xfId="6551"/>
    <cellStyle name="40 % - Accent3 3" xfId="657"/>
    <cellStyle name="40 % - Accent3 3 2" xfId="658"/>
    <cellStyle name="40 % - Accent3 3 2 2" xfId="659"/>
    <cellStyle name="40 % - Accent3 3 2 3" xfId="6552"/>
    <cellStyle name="40 % - Accent3 3 3" xfId="660"/>
    <cellStyle name="40 % - Accent3 3 3 2" xfId="6553"/>
    <cellStyle name="40 % - Accent3 3 3 3" xfId="6554"/>
    <cellStyle name="40 % - Accent3 3 4" xfId="6555"/>
    <cellStyle name="40 % - Accent3 3 5" xfId="6556"/>
    <cellStyle name="40 % - Accent3 30" xfId="6557"/>
    <cellStyle name="40 % - Accent3 30 2" xfId="6558"/>
    <cellStyle name="40 % - Accent3 30 2 2" xfId="6559"/>
    <cellStyle name="40 % - Accent3 30 2 3" xfId="6560"/>
    <cellStyle name="40 % - Accent3 30 3" xfId="6561"/>
    <cellStyle name="40 % - Accent3 30 3 2" xfId="6562"/>
    <cellStyle name="40 % - Accent3 30 3 3" xfId="6563"/>
    <cellStyle name="40 % - Accent3 30 4" xfId="6564"/>
    <cellStyle name="40 % - Accent3 30 5" xfId="6565"/>
    <cellStyle name="40 % - Accent3 31" xfId="6566"/>
    <cellStyle name="40 % - Accent3 31 2" xfId="6567"/>
    <cellStyle name="40 % - Accent3 31 2 2" xfId="6568"/>
    <cellStyle name="40 % - Accent3 31 2 3" xfId="6569"/>
    <cellStyle name="40 % - Accent3 31 3" xfId="6570"/>
    <cellStyle name="40 % - Accent3 31 3 2" xfId="6571"/>
    <cellStyle name="40 % - Accent3 31 3 3" xfId="6572"/>
    <cellStyle name="40 % - Accent3 31 4" xfId="6573"/>
    <cellStyle name="40 % - Accent3 31 5" xfId="6574"/>
    <cellStyle name="40 % - Accent3 32" xfId="6575"/>
    <cellStyle name="40 % - Accent3 32 2" xfId="6576"/>
    <cellStyle name="40 % - Accent3 32 2 2" xfId="6577"/>
    <cellStyle name="40 % - Accent3 32 2 3" xfId="6578"/>
    <cellStyle name="40 % - Accent3 32 3" xfId="6579"/>
    <cellStyle name="40 % - Accent3 32 3 2" xfId="6580"/>
    <cellStyle name="40 % - Accent3 32 3 3" xfId="6581"/>
    <cellStyle name="40 % - Accent3 32 4" xfId="6582"/>
    <cellStyle name="40 % - Accent3 32 5" xfId="6583"/>
    <cellStyle name="40 % - Accent3 33" xfId="6584"/>
    <cellStyle name="40 % - Accent3 33 2" xfId="6585"/>
    <cellStyle name="40 % - Accent3 33 2 2" xfId="6586"/>
    <cellStyle name="40 % - Accent3 33 2 3" xfId="6587"/>
    <cellStyle name="40 % - Accent3 33 3" xfId="6588"/>
    <cellStyle name="40 % - Accent3 33 3 2" xfId="6589"/>
    <cellStyle name="40 % - Accent3 33 3 3" xfId="6590"/>
    <cellStyle name="40 % - Accent3 33 4" xfId="6591"/>
    <cellStyle name="40 % - Accent3 33 5" xfId="6592"/>
    <cellStyle name="40 % - Accent3 34" xfId="6593"/>
    <cellStyle name="40 % - Accent3 34 2" xfId="6594"/>
    <cellStyle name="40 % - Accent3 34 2 2" xfId="6595"/>
    <cellStyle name="40 % - Accent3 34 2 3" xfId="6596"/>
    <cellStyle name="40 % - Accent3 34 3" xfId="6597"/>
    <cellStyle name="40 % - Accent3 34 3 2" xfId="6598"/>
    <cellStyle name="40 % - Accent3 34 3 3" xfId="6599"/>
    <cellStyle name="40 % - Accent3 34 4" xfId="6600"/>
    <cellStyle name="40 % - Accent3 34 5" xfId="6601"/>
    <cellStyle name="40 % - Accent3 35" xfId="6602"/>
    <cellStyle name="40 % - Accent3 35 2" xfId="6603"/>
    <cellStyle name="40 % - Accent3 35 2 2" xfId="6604"/>
    <cellStyle name="40 % - Accent3 35 2 3" xfId="6605"/>
    <cellStyle name="40 % - Accent3 35 3" xfId="6606"/>
    <cellStyle name="40 % - Accent3 35 3 2" xfId="6607"/>
    <cellStyle name="40 % - Accent3 35 3 3" xfId="6608"/>
    <cellStyle name="40 % - Accent3 35 4" xfId="6609"/>
    <cellStyle name="40 % - Accent3 35 5" xfId="6610"/>
    <cellStyle name="40 % - Accent3 36" xfId="6611"/>
    <cellStyle name="40 % - Accent3 36 2" xfId="6612"/>
    <cellStyle name="40 % - Accent3 36 2 2" xfId="6613"/>
    <cellStyle name="40 % - Accent3 36 2 3" xfId="6614"/>
    <cellStyle name="40 % - Accent3 36 3" xfId="6615"/>
    <cellStyle name="40 % - Accent3 36 3 2" xfId="6616"/>
    <cellStyle name="40 % - Accent3 36 3 3" xfId="6617"/>
    <cellStyle name="40 % - Accent3 36 4" xfId="6618"/>
    <cellStyle name="40 % - Accent3 36 5" xfId="6619"/>
    <cellStyle name="40 % - Accent3 37" xfId="6620"/>
    <cellStyle name="40 % - Accent3 37 2" xfId="6621"/>
    <cellStyle name="40 % - Accent3 37 2 2" xfId="6622"/>
    <cellStyle name="40 % - Accent3 37 2 3" xfId="6623"/>
    <cellStyle name="40 % - Accent3 37 3" xfId="6624"/>
    <cellStyle name="40 % - Accent3 37 3 2" xfId="6625"/>
    <cellStyle name="40 % - Accent3 37 3 3" xfId="6626"/>
    <cellStyle name="40 % - Accent3 37 4" xfId="6627"/>
    <cellStyle name="40 % - Accent3 37 5" xfId="6628"/>
    <cellStyle name="40 % - Accent3 38" xfId="6629"/>
    <cellStyle name="40 % - Accent3 38 2" xfId="6630"/>
    <cellStyle name="40 % - Accent3 38 2 2" xfId="6631"/>
    <cellStyle name="40 % - Accent3 38 2 3" xfId="6632"/>
    <cellStyle name="40 % - Accent3 38 3" xfId="6633"/>
    <cellStyle name="40 % - Accent3 38 3 2" xfId="6634"/>
    <cellStyle name="40 % - Accent3 38 3 3" xfId="6635"/>
    <cellStyle name="40 % - Accent3 38 4" xfId="6636"/>
    <cellStyle name="40 % - Accent3 38 5" xfId="6637"/>
    <cellStyle name="40 % - Accent3 39" xfId="6638"/>
    <cellStyle name="40 % - Accent3 39 2" xfId="6639"/>
    <cellStyle name="40 % - Accent3 39 2 2" xfId="6640"/>
    <cellStyle name="40 % - Accent3 39 2 3" xfId="6641"/>
    <cellStyle name="40 % - Accent3 39 3" xfId="6642"/>
    <cellStyle name="40 % - Accent3 39 3 2" xfId="6643"/>
    <cellStyle name="40 % - Accent3 39 3 3" xfId="6644"/>
    <cellStyle name="40 % - Accent3 39 4" xfId="6645"/>
    <cellStyle name="40 % - Accent3 39 5" xfId="6646"/>
    <cellStyle name="40 % - Accent3 4" xfId="661"/>
    <cellStyle name="40 % - Accent3 4 2" xfId="662"/>
    <cellStyle name="40 % - Accent3 4 2 2" xfId="663"/>
    <cellStyle name="40 % - Accent3 4 2 3" xfId="6647"/>
    <cellStyle name="40 % - Accent3 4 3" xfId="664"/>
    <cellStyle name="40 % - Accent3 4 3 2" xfId="6648"/>
    <cellStyle name="40 % - Accent3 4 3 3" xfId="6649"/>
    <cellStyle name="40 % - Accent3 4 4" xfId="6650"/>
    <cellStyle name="40 % - Accent3 4 5" xfId="6651"/>
    <cellStyle name="40 % - Accent3 40" xfId="6652"/>
    <cellStyle name="40 % - Accent3 40 2" xfId="6653"/>
    <cellStyle name="40 % - Accent3 40 2 2" xfId="6654"/>
    <cellStyle name="40 % - Accent3 40 2 3" xfId="6655"/>
    <cellStyle name="40 % - Accent3 40 3" xfId="6656"/>
    <cellStyle name="40 % - Accent3 40 3 2" xfId="6657"/>
    <cellStyle name="40 % - Accent3 40 3 3" xfId="6658"/>
    <cellStyle name="40 % - Accent3 40 4" xfId="6659"/>
    <cellStyle name="40 % - Accent3 40 5" xfId="6660"/>
    <cellStyle name="40 % - Accent3 41" xfId="6661"/>
    <cellStyle name="40 % - Accent3 41 2" xfId="6662"/>
    <cellStyle name="40 % - Accent3 41 2 2" xfId="6663"/>
    <cellStyle name="40 % - Accent3 41 2 3" xfId="6664"/>
    <cellStyle name="40 % - Accent3 41 3" xfId="6665"/>
    <cellStyle name="40 % - Accent3 41 3 2" xfId="6666"/>
    <cellStyle name="40 % - Accent3 41 3 3" xfId="6667"/>
    <cellStyle name="40 % - Accent3 41 4" xfId="6668"/>
    <cellStyle name="40 % - Accent3 41 5" xfId="6669"/>
    <cellStyle name="40 % - Accent3 42" xfId="6670"/>
    <cellStyle name="40 % - Accent3 42 2" xfId="6671"/>
    <cellStyle name="40 % - Accent3 42 2 2" xfId="6672"/>
    <cellStyle name="40 % - Accent3 42 2 3" xfId="6673"/>
    <cellStyle name="40 % - Accent3 42 3" xfId="6674"/>
    <cellStyle name="40 % - Accent3 42 3 2" xfId="6675"/>
    <cellStyle name="40 % - Accent3 42 3 3" xfId="6676"/>
    <cellStyle name="40 % - Accent3 42 4" xfId="6677"/>
    <cellStyle name="40 % - Accent3 42 5" xfId="6678"/>
    <cellStyle name="40 % - Accent3 43" xfId="6679"/>
    <cellStyle name="40 % - Accent3 43 2" xfId="6680"/>
    <cellStyle name="40 % - Accent3 43 2 2" xfId="6681"/>
    <cellStyle name="40 % - Accent3 43 2 3" xfId="6682"/>
    <cellStyle name="40 % - Accent3 43 3" xfId="6683"/>
    <cellStyle name="40 % - Accent3 43 3 2" xfId="6684"/>
    <cellStyle name="40 % - Accent3 43 3 3" xfId="6685"/>
    <cellStyle name="40 % - Accent3 43 4" xfId="6686"/>
    <cellStyle name="40 % - Accent3 43 5" xfId="6687"/>
    <cellStyle name="40 % - Accent3 44" xfId="6688"/>
    <cellStyle name="40 % - Accent3 44 2" xfId="6689"/>
    <cellStyle name="40 % - Accent3 44 2 2" xfId="6690"/>
    <cellStyle name="40 % - Accent3 44 2 3" xfId="6691"/>
    <cellStyle name="40 % - Accent3 44 3" xfId="6692"/>
    <cellStyle name="40 % - Accent3 44 3 2" xfId="6693"/>
    <cellStyle name="40 % - Accent3 44 3 3" xfId="6694"/>
    <cellStyle name="40 % - Accent3 44 4" xfId="6695"/>
    <cellStyle name="40 % - Accent3 44 5" xfId="6696"/>
    <cellStyle name="40 % - Accent3 45" xfId="6697"/>
    <cellStyle name="40 % - Accent3 45 2" xfId="6698"/>
    <cellStyle name="40 % - Accent3 45 2 2" xfId="6699"/>
    <cellStyle name="40 % - Accent3 45 2 3" xfId="6700"/>
    <cellStyle name="40 % - Accent3 45 3" xfId="6701"/>
    <cellStyle name="40 % - Accent3 45 3 2" xfId="6702"/>
    <cellStyle name="40 % - Accent3 45 3 3" xfId="6703"/>
    <cellStyle name="40 % - Accent3 45 4" xfId="6704"/>
    <cellStyle name="40 % - Accent3 45 5" xfId="6705"/>
    <cellStyle name="40 % - Accent3 46" xfId="6706"/>
    <cellStyle name="40 % - Accent3 46 2" xfId="6707"/>
    <cellStyle name="40 % - Accent3 46 2 2" xfId="6708"/>
    <cellStyle name="40 % - Accent3 46 2 3" xfId="6709"/>
    <cellStyle name="40 % - Accent3 46 3" xfId="6710"/>
    <cellStyle name="40 % - Accent3 46 3 2" xfId="6711"/>
    <cellStyle name="40 % - Accent3 46 3 3" xfId="6712"/>
    <cellStyle name="40 % - Accent3 46 4" xfId="6713"/>
    <cellStyle name="40 % - Accent3 46 5" xfId="6714"/>
    <cellStyle name="40 % - Accent3 47" xfId="6715"/>
    <cellStyle name="40 % - Accent3 47 2" xfId="6716"/>
    <cellStyle name="40 % - Accent3 47 2 2" xfId="6717"/>
    <cellStyle name="40 % - Accent3 47 2 3" xfId="6718"/>
    <cellStyle name="40 % - Accent3 47 3" xfId="6719"/>
    <cellStyle name="40 % - Accent3 47 3 2" xfId="6720"/>
    <cellStyle name="40 % - Accent3 47 3 3" xfId="6721"/>
    <cellStyle name="40 % - Accent3 47 4" xfId="6722"/>
    <cellStyle name="40 % - Accent3 47 5" xfId="6723"/>
    <cellStyle name="40 % - Accent3 48" xfId="6724"/>
    <cellStyle name="40 % - Accent3 48 2" xfId="6725"/>
    <cellStyle name="40 % - Accent3 48 2 2" xfId="6726"/>
    <cellStyle name="40 % - Accent3 48 2 3" xfId="6727"/>
    <cellStyle name="40 % - Accent3 48 3" xfId="6728"/>
    <cellStyle name="40 % - Accent3 48 3 2" xfId="6729"/>
    <cellStyle name="40 % - Accent3 48 3 3" xfId="6730"/>
    <cellStyle name="40 % - Accent3 48 4" xfId="6731"/>
    <cellStyle name="40 % - Accent3 48 5" xfId="6732"/>
    <cellStyle name="40 % - Accent3 49" xfId="6733"/>
    <cellStyle name="40 % - Accent3 49 2" xfId="6734"/>
    <cellStyle name="40 % - Accent3 49 2 2" xfId="6735"/>
    <cellStyle name="40 % - Accent3 49 2 3" xfId="6736"/>
    <cellStyle name="40 % - Accent3 49 3" xfId="6737"/>
    <cellStyle name="40 % - Accent3 49 3 2" xfId="6738"/>
    <cellStyle name="40 % - Accent3 49 3 3" xfId="6739"/>
    <cellStyle name="40 % - Accent3 49 4" xfId="6740"/>
    <cellStyle name="40 % - Accent3 49 5" xfId="6741"/>
    <cellStyle name="40 % - Accent3 5" xfId="665"/>
    <cellStyle name="40 % - Accent3 5 2" xfId="666"/>
    <cellStyle name="40 % - Accent3 5 2 2" xfId="667"/>
    <cellStyle name="40 % - Accent3 5 2 3" xfId="6742"/>
    <cellStyle name="40 % - Accent3 5 3" xfId="668"/>
    <cellStyle name="40 % - Accent3 5 3 2" xfId="6743"/>
    <cellStyle name="40 % - Accent3 5 3 3" xfId="6744"/>
    <cellStyle name="40 % - Accent3 5 4" xfId="6745"/>
    <cellStyle name="40 % - Accent3 5 5" xfId="6746"/>
    <cellStyle name="40 % - Accent3 50" xfId="6747"/>
    <cellStyle name="40 % - Accent3 50 2" xfId="6748"/>
    <cellStyle name="40 % - Accent3 50 2 2" xfId="6749"/>
    <cellStyle name="40 % - Accent3 50 2 3" xfId="6750"/>
    <cellStyle name="40 % - Accent3 50 3" xfId="6751"/>
    <cellStyle name="40 % - Accent3 50 3 2" xfId="6752"/>
    <cellStyle name="40 % - Accent3 50 3 3" xfId="6753"/>
    <cellStyle name="40 % - Accent3 50 4" xfId="6754"/>
    <cellStyle name="40 % - Accent3 50 5" xfId="6755"/>
    <cellStyle name="40 % - Accent3 51" xfId="6756"/>
    <cellStyle name="40 % - Accent3 51 2" xfId="6757"/>
    <cellStyle name="40 % - Accent3 51 2 2" xfId="6758"/>
    <cellStyle name="40 % - Accent3 51 2 3" xfId="6759"/>
    <cellStyle name="40 % - Accent3 51 3" xfId="6760"/>
    <cellStyle name="40 % - Accent3 51 3 2" xfId="6761"/>
    <cellStyle name="40 % - Accent3 51 3 3" xfId="6762"/>
    <cellStyle name="40 % - Accent3 51 4" xfId="6763"/>
    <cellStyle name="40 % - Accent3 51 5" xfId="6764"/>
    <cellStyle name="40 % - Accent3 52" xfId="6765"/>
    <cellStyle name="40 % - Accent3 52 2" xfId="6766"/>
    <cellStyle name="40 % - Accent3 52 2 2" xfId="6767"/>
    <cellStyle name="40 % - Accent3 52 2 3" xfId="6768"/>
    <cellStyle name="40 % - Accent3 52 3" xfId="6769"/>
    <cellStyle name="40 % - Accent3 52 3 2" xfId="6770"/>
    <cellStyle name="40 % - Accent3 52 3 3" xfId="6771"/>
    <cellStyle name="40 % - Accent3 52 4" xfId="6772"/>
    <cellStyle name="40 % - Accent3 52 5" xfId="6773"/>
    <cellStyle name="40 % - Accent3 53" xfId="6774"/>
    <cellStyle name="40 % - Accent3 53 2" xfId="6775"/>
    <cellStyle name="40 % - Accent3 53 2 2" xfId="6776"/>
    <cellStyle name="40 % - Accent3 53 2 3" xfId="6777"/>
    <cellStyle name="40 % - Accent3 53 3" xfId="6778"/>
    <cellStyle name="40 % - Accent3 53 3 2" xfId="6779"/>
    <cellStyle name="40 % - Accent3 53 3 3" xfId="6780"/>
    <cellStyle name="40 % - Accent3 53 4" xfId="6781"/>
    <cellStyle name="40 % - Accent3 53 5" xfId="6782"/>
    <cellStyle name="40 % - Accent3 54" xfId="6783"/>
    <cellStyle name="40 % - Accent3 54 2" xfId="6784"/>
    <cellStyle name="40 % - Accent3 54 2 2" xfId="6785"/>
    <cellStyle name="40 % - Accent3 54 2 3" xfId="6786"/>
    <cellStyle name="40 % - Accent3 54 3" xfId="6787"/>
    <cellStyle name="40 % - Accent3 54 3 2" xfId="6788"/>
    <cellStyle name="40 % - Accent3 54 3 3" xfId="6789"/>
    <cellStyle name="40 % - Accent3 54 4" xfId="6790"/>
    <cellStyle name="40 % - Accent3 54 5" xfId="6791"/>
    <cellStyle name="40 % - Accent3 55" xfId="6792"/>
    <cellStyle name="40 % - Accent3 55 2" xfId="6793"/>
    <cellStyle name="40 % - Accent3 55 2 2" xfId="6794"/>
    <cellStyle name="40 % - Accent3 55 2 3" xfId="6795"/>
    <cellStyle name="40 % - Accent3 55 3" xfId="6796"/>
    <cellStyle name="40 % - Accent3 55 3 2" xfId="6797"/>
    <cellStyle name="40 % - Accent3 55 3 3" xfId="6798"/>
    <cellStyle name="40 % - Accent3 55 4" xfId="6799"/>
    <cellStyle name="40 % - Accent3 55 5" xfId="6800"/>
    <cellStyle name="40 % - Accent3 56" xfId="6801"/>
    <cellStyle name="40 % - Accent3 56 2" xfId="6802"/>
    <cellStyle name="40 % - Accent3 56 2 2" xfId="6803"/>
    <cellStyle name="40 % - Accent3 56 2 3" xfId="6804"/>
    <cellStyle name="40 % - Accent3 56 3" xfId="6805"/>
    <cellStyle name="40 % - Accent3 56 3 2" xfId="6806"/>
    <cellStyle name="40 % - Accent3 56 3 3" xfId="6807"/>
    <cellStyle name="40 % - Accent3 56 4" xfId="6808"/>
    <cellStyle name="40 % - Accent3 56 5" xfId="6809"/>
    <cellStyle name="40 % - Accent3 57" xfId="6810"/>
    <cellStyle name="40 % - Accent3 57 2" xfId="6811"/>
    <cellStyle name="40 % - Accent3 57 2 2" xfId="6812"/>
    <cellStyle name="40 % - Accent3 57 2 3" xfId="6813"/>
    <cellStyle name="40 % - Accent3 57 3" xfId="6814"/>
    <cellStyle name="40 % - Accent3 57 3 2" xfId="6815"/>
    <cellStyle name="40 % - Accent3 57 3 3" xfId="6816"/>
    <cellStyle name="40 % - Accent3 57 4" xfId="6817"/>
    <cellStyle name="40 % - Accent3 57 5" xfId="6818"/>
    <cellStyle name="40 % - Accent3 58" xfId="6819"/>
    <cellStyle name="40 % - Accent3 58 2" xfId="6820"/>
    <cellStyle name="40 % - Accent3 58 2 2" xfId="6821"/>
    <cellStyle name="40 % - Accent3 58 2 3" xfId="6822"/>
    <cellStyle name="40 % - Accent3 58 3" xfId="6823"/>
    <cellStyle name="40 % - Accent3 58 3 2" xfId="6824"/>
    <cellStyle name="40 % - Accent3 58 3 3" xfId="6825"/>
    <cellStyle name="40 % - Accent3 58 4" xfId="6826"/>
    <cellStyle name="40 % - Accent3 58 5" xfId="6827"/>
    <cellStyle name="40 % - Accent3 59" xfId="6828"/>
    <cellStyle name="40 % - Accent3 59 2" xfId="6829"/>
    <cellStyle name="40 % - Accent3 59 2 2" xfId="6830"/>
    <cellStyle name="40 % - Accent3 59 2 3" xfId="6831"/>
    <cellStyle name="40 % - Accent3 59 3" xfId="6832"/>
    <cellStyle name="40 % - Accent3 59 3 2" xfId="6833"/>
    <cellStyle name="40 % - Accent3 59 3 3" xfId="6834"/>
    <cellStyle name="40 % - Accent3 59 4" xfId="6835"/>
    <cellStyle name="40 % - Accent3 59 5" xfId="6836"/>
    <cellStyle name="40 % - Accent3 6" xfId="669"/>
    <cellStyle name="40 % - Accent3 6 2" xfId="670"/>
    <cellStyle name="40 % - Accent3 6 2 2" xfId="671"/>
    <cellStyle name="40 % - Accent3 6 2 3" xfId="6837"/>
    <cellStyle name="40 % - Accent3 6 3" xfId="672"/>
    <cellStyle name="40 % - Accent3 6 3 2" xfId="6838"/>
    <cellStyle name="40 % - Accent3 6 3 3" xfId="6839"/>
    <cellStyle name="40 % - Accent3 6 4" xfId="6840"/>
    <cellStyle name="40 % - Accent3 6 5" xfId="6841"/>
    <cellStyle name="40 % - Accent3 60" xfId="6842"/>
    <cellStyle name="40 % - Accent3 60 2" xfId="6843"/>
    <cellStyle name="40 % - Accent3 60 2 2" xfId="6844"/>
    <cellStyle name="40 % - Accent3 60 2 3" xfId="6845"/>
    <cellStyle name="40 % - Accent3 60 3" xfId="6846"/>
    <cellStyle name="40 % - Accent3 60 3 2" xfId="6847"/>
    <cellStyle name="40 % - Accent3 60 3 3" xfId="6848"/>
    <cellStyle name="40 % - Accent3 60 4" xfId="6849"/>
    <cellStyle name="40 % - Accent3 60 5" xfId="6850"/>
    <cellStyle name="40 % - Accent3 61" xfId="6851"/>
    <cellStyle name="40 % - Accent3 61 2" xfId="6852"/>
    <cellStyle name="40 % - Accent3 61 2 2" xfId="6853"/>
    <cellStyle name="40 % - Accent3 61 2 3" xfId="6854"/>
    <cellStyle name="40 % - Accent3 61 3" xfId="6855"/>
    <cellStyle name="40 % - Accent3 61 3 2" xfId="6856"/>
    <cellStyle name="40 % - Accent3 61 3 3" xfId="6857"/>
    <cellStyle name="40 % - Accent3 61 4" xfId="6858"/>
    <cellStyle name="40 % - Accent3 61 5" xfId="6859"/>
    <cellStyle name="40 % - Accent3 62" xfId="6860"/>
    <cellStyle name="40 % - Accent3 62 2" xfId="6861"/>
    <cellStyle name="40 % - Accent3 62 2 2" xfId="6862"/>
    <cellStyle name="40 % - Accent3 62 2 3" xfId="6863"/>
    <cellStyle name="40 % - Accent3 62 3" xfId="6864"/>
    <cellStyle name="40 % - Accent3 62 3 2" xfId="6865"/>
    <cellStyle name="40 % - Accent3 62 3 3" xfId="6866"/>
    <cellStyle name="40 % - Accent3 62 4" xfId="6867"/>
    <cellStyle name="40 % - Accent3 62 5" xfId="6868"/>
    <cellStyle name="40 % - Accent3 63" xfId="6869"/>
    <cellStyle name="40 % - Accent3 63 2" xfId="6870"/>
    <cellStyle name="40 % - Accent3 63 2 2" xfId="6871"/>
    <cellStyle name="40 % - Accent3 63 2 3" xfId="6872"/>
    <cellStyle name="40 % - Accent3 63 3" xfId="6873"/>
    <cellStyle name="40 % - Accent3 63 3 2" xfId="6874"/>
    <cellStyle name="40 % - Accent3 63 3 3" xfId="6875"/>
    <cellStyle name="40 % - Accent3 63 4" xfId="6876"/>
    <cellStyle name="40 % - Accent3 63 5" xfId="6877"/>
    <cellStyle name="40 % - Accent3 64" xfId="6878"/>
    <cellStyle name="40 % - Accent3 64 2" xfId="6879"/>
    <cellStyle name="40 % - Accent3 64 2 2" xfId="6880"/>
    <cellStyle name="40 % - Accent3 64 2 3" xfId="6881"/>
    <cellStyle name="40 % - Accent3 64 3" xfId="6882"/>
    <cellStyle name="40 % - Accent3 64 3 2" xfId="6883"/>
    <cellStyle name="40 % - Accent3 64 3 3" xfId="6884"/>
    <cellStyle name="40 % - Accent3 64 4" xfId="6885"/>
    <cellStyle name="40 % - Accent3 64 5" xfId="6886"/>
    <cellStyle name="40 % - Accent3 65" xfId="6887"/>
    <cellStyle name="40 % - Accent3 65 2" xfId="6888"/>
    <cellStyle name="40 % - Accent3 65 2 2" xfId="6889"/>
    <cellStyle name="40 % - Accent3 65 2 3" xfId="6890"/>
    <cellStyle name="40 % - Accent3 65 3" xfId="6891"/>
    <cellStyle name="40 % - Accent3 65 3 2" xfId="6892"/>
    <cellStyle name="40 % - Accent3 65 3 3" xfId="6893"/>
    <cellStyle name="40 % - Accent3 65 4" xfId="6894"/>
    <cellStyle name="40 % - Accent3 65 5" xfId="6895"/>
    <cellStyle name="40 % - Accent3 66" xfId="6896"/>
    <cellStyle name="40 % - Accent3 66 2" xfId="6897"/>
    <cellStyle name="40 % - Accent3 66 2 2" xfId="6898"/>
    <cellStyle name="40 % - Accent3 66 2 3" xfId="6899"/>
    <cellStyle name="40 % - Accent3 66 3" xfId="6900"/>
    <cellStyle name="40 % - Accent3 66 3 2" xfId="6901"/>
    <cellStyle name="40 % - Accent3 66 3 3" xfId="6902"/>
    <cellStyle name="40 % - Accent3 66 4" xfId="6903"/>
    <cellStyle name="40 % - Accent3 66 5" xfId="6904"/>
    <cellStyle name="40 % - Accent3 67" xfId="6905"/>
    <cellStyle name="40 % - Accent3 67 2" xfId="6906"/>
    <cellStyle name="40 % - Accent3 67 2 2" xfId="6907"/>
    <cellStyle name="40 % - Accent3 67 2 3" xfId="6908"/>
    <cellStyle name="40 % - Accent3 67 3" xfId="6909"/>
    <cellStyle name="40 % - Accent3 67 3 2" xfId="6910"/>
    <cellStyle name="40 % - Accent3 67 3 3" xfId="6911"/>
    <cellStyle name="40 % - Accent3 67 4" xfId="6912"/>
    <cellStyle name="40 % - Accent3 67 5" xfId="6913"/>
    <cellStyle name="40 % - Accent3 68" xfId="6914"/>
    <cellStyle name="40 % - Accent3 68 2" xfId="6915"/>
    <cellStyle name="40 % - Accent3 68 2 2" xfId="6916"/>
    <cellStyle name="40 % - Accent3 68 2 3" xfId="6917"/>
    <cellStyle name="40 % - Accent3 68 3" xfId="6918"/>
    <cellStyle name="40 % - Accent3 68 3 2" xfId="6919"/>
    <cellStyle name="40 % - Accent3 68 3 3" xfId="6920"/>
    <cellStyle name="40 % - Accent3 68 4" xfId="6921"/>
    <cellStyle name="40 % - Accent3 68 5" xfId="6922"/>
    <cellStyle name="40 % - Accent3 69" xfId="6923"/>
    <cellStyle name="40 % - Accent3 69 2" xfId="6924"/>
    <cellStyle name="40 % - Accent3 69 2 2" xfId="6925"/>
    <cellStyle name="40 % - Accent3 69 2 3" xfId="6926"/>
    <cellStyle name="40 % - Accent3 69 3" xfId="6927"/>
    <cellStyle name="40 % - Accent3 69 3 2" xfId="6928"/>
    <cellStyle name="40 % - Accent3 69 3 3" xfId="6929"/>
    <cellStyle name="40 % - Accent3 69 4" xfId="6930"/>
    <cellStyle name="40 % - Accent3 69 5" xfId="6931"/>
    <cellStyle name="40 % - Accent3 7" xfId="673"/>
    <cellStyle name="40 % - Accent3 7 2" xfId="674"/>
    <cellStyle name="40 % - Accent3 7 2 2" xfId="675"/>
    <cellStyle name="40 % - Accent3 7 2 3" xfId="6932"/>
    <cellStyle name="40 % - Accent3 7 3" xfId="676"/>
    <cellStyle name="40 % - Accent3 7 3 2" xfId="6933"/>
    <cellStyle name="40 % - Accent3 7 3 3" xfId="6934"/>
    <cellStyle name="40 % - Accent3 7 4" xfId="6935"/>
    <cellStyle name="40 % - Accent3 7 5" xfId="6936"/>
    <cellStyle name="40 % - Accent3 70" xfId="6937"/>
    <cellStyle name="40 % - Accent3 70 2" xfId="6938"/>
    <cellStyle name="40 % - Accent3 70 2 2" xfId="6939"/>
    <cellStyle name="40 % - Accent3 70 2 3" xfId="6940"/>
    <cellStyle name="40 % - Accent3 70 3" xfId="6941"/>
    <cellStyle name="40 % - Accent3 70 3 2" xfId="6942"/>
    <cellStyle name="40 % - Accent3 70 3 3" xfId="6943"/>
    <cellStyle name="40 % - Accent3 70 4" xfId="6944"/>
    <cellStyle name="40 % - Accent3 70 5" xfId="6945"/>
    <cellStyle name="40 % - Accent3 71" xfId="6946"/>
    <cellStyle name="40 % - Accent3 71 2" xfId="6947"/>
    <cellStyle name="40 % - Accent3 71 2 2" xfId="6948"/>
    <cellStyle name="40 % - Accent3 71 2 3" xfId="6949"/>
    <cellStyle name="40 % - Accent3 71 3" xfId="6950"/>
    <cellStyle name="40 % - Accent3 71 3 2" xfId="6951"/>
    <cellStyle name="40 % - Accent3 71 3 3" xfId="6952"/>
    <cellStyle name="40 % - Accent3 71 4" xfId="6953"/>
    <cellStyle name="40 % - Accent3 71 5" xfId="6954"/>
    <cellStyle name="40 % - Accent3 72" xfId="6955"/>
    <cellStyle name="40 % - Accent3 72 2" xfId="6956"/>
    <cellStyle name="40 % - Accent3 72 2 2" xfId="6957"/>
    <cellStyle name="40 % - Accent3 72 2 3" xfId="6958"/>
    <cellStyle name="40 % - Accent3 72 3" xfId="6959"/>
    <cellStyle name="40 % - Accent3 72 3 2" xfId="6960"/>
    <cellStyle name="40 % - Accent3 72 3 3" xfId="6961"/>
    <cellStyle name="40 % - Accent3 72 4" xfId="6962"/>
    <cellStyle name="40 % - Accent3 72 5" xfId="6963"/>
    <cellStyle name="40 % - Accent3 73" xfId="6964"/>
    <cellStyle name="40 % - Accent3 73 2" xfId="6965"/>
    <cellStyle name="40 % - Accent3 73 2 2" xfId="6966"/>
    <cellStyle name="40 % - Accent3 73 2 3" xfId="6967"/>
    <cellStyle name="40 % - Accent3 73 3" xfId="6968"/>
    <cellStyle name="40 % - Accent3 73 3 2" xfId="6969"/>
    <cellStyle name="40 % - Accent3 73 3 3" xfId="6970"/>
    <cellStyle name="40 % - Accent3 73 4" xfId="6971"/>
    <cellStyle name="40 % - Accent3 73 5" xfId="6972"/>
    <cellStyle name="40 % - Accent3 74" xfId="6973"/>
    <cellStyle name="40 % - Accent3 74 2" xfId="6974"/>
    <cellStyle name="40 % - Accent3 74 3" xfId="6975"/>
    <cellStyle name="40 % - Accent3 75" xfId="6976"/>
    <cellStyle name="40 % - Accent3 75 2" xfId="6977"/>
    <cellStyle name="40 % - Accent3 75 3" xfId="6978"/>
    <cellStyle name="40 % - Accent3 76" xfId="6979"/>
    <cellStyle name="40 % - Accent3 76 2" xfId="6980"/>
    <cellStyle name="40 % - Accent3 76 3" xfId="6981"/>
    <cellStyle name="40 % - Accent3 77" xfId="6982"/>
    <cellStyle name="40 % - Accent3 77 2" xfId="6983"/>
    <cellStyle name="40 % - Accent3 77 3" xfId="6984"/>
    <cellStyle name="40 % - Accent3 78" xfId="6985"/>
    <cellStyle name="40 % - Accent3 79" xfId="6986"/>
    <cellStyle name="40 % - Accent3 8" xfId="677"/>
    <cellStyle name="40 % - Accent3 8 2" xfId="678"/>
    <cellStyle name="40 % - Accent3 8 2 2" xfId="679"/>
    <cellStyle name="40 % - Accent3 8 2 3" xfId="6987"/>
    <cellStyle name="40 % - Accent3 8 3" xfId="680"/>
    <cellStyle name="40 % - Accent3 8 3 2" xfId="6988"/>
    <cellStyle name="40 % - Accent3 8 3 3" xfId="6989"/>
    <cellStyle name="40 % - Accent3 8 4" xfId="6990"/>
    <cellStyle name="40 % - Accent3 8 5" xfId="6991"/>
    <cellStyle name="40 % - Accent3 80" xfId="6992"/>
    <cellStyle name="40 % - Accent3 81" xfId="6993"/>
    <cellStyle name="40 % - Accent3 82" xfId="6994"/>
    <cellStyle name="40 % - Accent3 83" xfId="6995"/>
    <cellStyle name="40 % - Accent3 84" xfId="6996"/>
    <cellStyle name="40 % - Accent3 85" xfId="6997"/>
    <cellStyle name="40 % - Accent3 86" xfId="6998"/>
    <cellStyle name="40 % - Accent3 87" xfId="6999"/>
    <cellStyle name="40 % - Accent3 88" xfId="7000"/>
    <cellStyle name="40 % - Accent3 89" xfId="7001"/>
    <cellStyle name="40 % - Accent3 9" xfId="681"/>
    <cellStyle name="40 % - Accent3 9 2" xfId="682"/>
    <cellStyle name="40 % - Accent3 9 2 2" xfId="683"/>
    <cellStyle name="40 % - Accent3 9 2 3" xfId="7002"/>
    <cellStyle name="40 % - Accent3 9 3" xfId="684"/>
    <cellStyle name="40 % - Accent3 9 3 2" xfId="7003"/>
    <cellStyle name="40 % - Accent3 9 3 3" xfId="7004"/>
    <cellStyle name="40 % - Accent3 9 4" xfId="7005"/>
    <cellStyle name="40 % - Accent3 9 5" xfId="7006"/>
    <cellStyle name="40 % - Accent3 90" xfId="7007"/>
    <cellStyle name="40 % - Accent3 91" xfId="7008"/>
    <cellStyle name="40 % - Accent3 92" xfId="7009"/>
    <cellStyle name="40 % - Accent3 93" xfId="7010"/>
    <cellStyle name="40 % - Accent3 94" xfId="7011"/>
    <cellStyle name="40 % - Accent3 95" xfId="7012"/>
    <cellStyle name="40 % - Accent3 96" xfId="7013"/>
    <cellStyle name="40 % - Accent3 97" xfId="7014"/>
    <cellStyle name="40 % - Accent3 98" xfId="7015"/>
    <cellStyle name="40 % - Accent3 99" xfId="7016"/>
    <cellStyle name="40 % - Accent4 10" xfId="685"/>
    <cellStyle name="40 % - Accent4 10 2" xfId="686"/>
    <cellStyle name="40 % - Accent4 10 2 2" xfId="687"/>
    <cellStyle name="40 % - Accent4 10 2 3" xfId="7017"/>
    <cellStyle name="40 % - Accent4 10 3" xfId="688"/>
    <cellStyle name="40 % - Accent4 10 3 2" xfId="7018"/>
    <cellStyle name="40 % - Accent4 10 3 3" xfId="7019"/>
    <cellStyle name="40 % - Accent4 10 4" xfId="7020"/>
    <cellStyle name="40 % - Accent4 10 5" xfId="7021"/>
    <cellStyle name="40 % - Accent4 100" xfId="7022"/>
    <cellStyle name="40 % - Accent4 101" xfId="7023"/>
    <cellStyle name="40 % - Accent4 102" xfId="7024"/>
    <cellStyle name="40 % - Accent4 103" xfId="7025"/>
    <cellStyle name="40 % - Accent4 104" xfId="7026"/>
    <cellStyle name="40 % - Accent4 105" xfId="7027"/>
    <cellStyle name="40 % - Accent4 106" xfId="7028"/>
    <cellStyle name="40 % - Accent4 107" xfId="7029"/>
    <cellStyle name="40 % - Accent4 108" xfId="7030"/>
    <cellStyle name="40 % - Accent4 109" xfId="7031"/>
    <cellStyle name="40 % - Accent4 11" xfId="689"/>
    <cellStyle name="40 % - Accent4 11 2" xfId="690"/>
    <cellStyle name="40 % - Accent4 11 2 2" xfId="691"/>
    <cellStyle name="40 % - Accent4 11 2 3" xfId="7032"/>
    <cellStyle name="40 % - Accent4 11 3" xfId="692"/>
    <cellStyle name="40 % - Accent4 11 3 2" xfId="7033"/>
    <cellStyle name="40 % - Accent4 11 3 3" xfId="7034"/>
    <cellStyle name="40 % - Accent4 11 4" xfId="7035"/>
    <cellStyle name="40 % - Accent4 11 5" xfId="7036"/>
    <cellStyle name="40 % - Accent4 110" xfId="7037"/>
    <cellStyle name="40 % - Accent4 111" xfId="7038"/>
    <cellStyle name="40 % - Accent4 112" xfId="7039"/>
    <cellStyle name="40 % - Accent4 113" xfId="7040"/>
    <cellStyle name="40 % - Accent4 114" xfId="7041"/>
    <cellStyle name="40 % - Accent4 115" xfId="7042"/>
    <cellStyle name="40 % - Accent4 116" xfId="7043"/>
    <cellStyle name="40 % - Accent4 117" xfId="7044"/>
    <cellStyle name="40 % - Accent4 118" xfId="7045"/>
    <cellStyle name="40 % - Accent4 119" xfId="7046"/>
    <cellStyle name="40 % - Accent4 12" xfId="693"/>
    <cellStyle name="40 % - Accent4 12 2" xfId="694"/>
    <cellStyle name="40 % - Accent4 12 2 2" xfId="695"/>
    <cellStyle name="40 % - Accent4 12 2 3" xfId="7047"/>
    <cellStyle name="40 % - Accent4 12 3" xfId="696"/>
    <cellStyle name="40 % - Accent4 12 3 2" xfId="7048"/>
    <cellStyle name="40 % - Accent4 12 3 3" xfId="7049"/>
    <cellStyle name="40 % - Accent4 12 4" xfId="7050"/>
    <cellStyle name="40 % - Accent4 12 5" xfId="7051"/>
    <cellStyle name="40 % - Accent4 120" xfId="7052"/>
    <cellStyle name="40 % - Accent4 121" xfId="7053"/>
    <cellStyle name="40 % - Accent4 122" xfId="7054"/>
    <cellStyle name="40 % - Accent4 123" xfId="7055"/>
    <cellStyle name="40 % - Accent4 124" xfId="7056"/>
    <cellStyle name="40 % - Accent4 125" xfId="7057"/>
    <cellStyle name="40 % - Accent4 126" xfId="7058"/>
    <cellStyle name="40 % - Accent4 127" xfId="7059"/>
    <cellStyle name="40 % - Accent4 128" xfId="7060"/>
    <cellStyle name="40 % - Accent4 129" xfId="7061"/>
    <cellStyle name="40 % - Accent4 13" xfId="697"/>
    <cellStyle name="40 % - Accent4 13 2" xfId="698"/>
    <cellStyle name="40 % - Accent4 13 2 2" xfId="699"/>
    <cellStyle name="40 % - Accent4 13 2 3" xfId="7062"/>
    <cellStyle name="40 % - Accent4 13 3" xfId="700"/>
    <cellStyle name="40 % - Accent4 13 3 2" xfId="7063"/>
    <cellStyle name="40 % - Accent4 13 3 3" xfId="7064"/>
    <cellStyle name="40 % - Accent4 13 4" xfId="7065"/>
    <cellStyle name="40 % - Accent4 13 5" xfId="7066"/>
    <cellStyle name="40 % - Accent4 130" xfId="7067"/>
    <cellStyle name="40 % - Accent4 131" xfId="7068"/>
    <cellStyle name="40 % - Accent4 132" xfId="7069"/>
    <cellStyle name="40 % - Accent4 133" xfId="7070"/>
    <cellStyle name="40 % - Accent4 134" xfId="7071"/>
    <cellStyle name="40 % - Accent4 135" xfId="7072"/>
    <cellStyle name="40 % - Accent4 136" xfId="7073"/>
    <cellStyle name="40 % - Accent4 137" xfId="7074"/>
    <cellStyle name="40 % - Accent4 138" xfId="7075"/>
    <cellStyle name="40 % - Accent4 139" xfId="7076"/>
    <cellStyle name="40 % - Accent4 14" xfId="701"/>
    <cellStyle name="40 % - Accent4 14 2" xfId="702"/>
    <cellStyle name="40 % - Accent4 14 2 2" xfId="703"/>
    <cellStyle name="40 % - Accent4 14 2 3" xfId="7077"/>
    <cellStyle name="40 % - Accent4 14 3" xfId="704"/>
    <cellStyle name="40 % - Accent4 14 3 2" xfId="7078"/>
    <cellStyle name="40 % - Accent4 14 3 3" xfId="7079"/>
    <cellStyle name="40 % - Accent4 14 4" xfId="7080"/>
    <cellStyle name="40 % - Accent4 14 5" xfId="7081"/>
    <cellStyle name="40 % - Accent4 140" xfId="7082"/>
    <cellStyle name="40 % - Accent4 15" xfId="705"/>
    <cellStyle name="40 % - Accent4 15 2" xfId="706"/>
    <cellStyle name="40 % - Accent4 15 2 2" xfId="707"/>
    <cellStyle name="40 % - Accent4 15 2 3" xfId="7083"/>
    <cellStyle name="40 % - Accent4 15 3" xfId="708"/>
    <cellStyle name="40 % - Accent4 15 3 2" xfId="7084"/>
    <cellStyle name="40 % - Accent4 15 3 3" xfId="7085"/>
    <cellStyle name="40 % - Accent4 15 4" xfId="7086"/>
    <cellStyle name="40 % - Accent4 15 5" xfId="7087"/>
    <cellStyle name="40 % - Accent4 16" xfId="709"/>
    <cellStyle name="40 % - Accent4 16 2" xfId="710"/>
    <cellStyle name="40 % - Accent4 16 2 2" xfId="711"/>
    <cellStyle name="40 % - Accent4 16 2 3" xfId="7088"/>
    <cellStyle name="40 % - Accent4 16 3" xfId="712"/>
    <cellStyle name="40 % - Accent4 16 3 2" xfId="7089"/>
    <cellStyle name="40 % - Accent4 16 3 3" xfId="7090"/>
    <cellStyle name="40 % - Accent4 16 4" xfId="7091"/>
    <cellStyle name="40 % - Accent4 16 5" xfId="7092"/>
    <cellStyle name="40 % - Accent4 17" xfId="713"/>
    <cellStyle name="40 % - Accent4 17 2" xfId="714"/>
    <cellStyle name="40 % - Accent4 17 2 2" xfId="715"/>
    <cellStyle name="40 % - Accent4 17 2 3" xfId="7093"/>
    <cellStyle name="40 % - Accent4 17 3" xfId="716"/>
    <cellStyle name="40 % - Accent4 17 3 2" xfId="7094"/>
    <cellStyle name="40 % - Accent4 17 3 3" xfId="7095"/>
    <cellStyle name="40 % - Accent4 17 4" xfId="7096"/>
    <cellStyle name="40 % - Accent4 17 5" xfId="7097"/>
    <cellStyle name="40 % - Accent4 18" xfId="717"/>
    <cellStyle name="40 % - Accent4 18 2" xfId="718"/>
    <cellStyle name="40 % - Accent4 18 2 2" xfId="719"/>
    <cellStyle name="40 % - Accent4 18 2 3" xfId="7098"/>
    <cellStyle name="40 % - Accent4 18 3" xfId="720"/>
    <cellStyle name="40 % - Accent4 18 3 2" xfId="7099"/>
    <cellStyle name="40 % - Accent4 18 3 3" xfId="7100"/>
    <cellStyle name="40 % - Accent4 18 4" xfId="7101"/>
    <cellStyle name="40 % - Accent4 18 5" xfId="7102"/>
    <cellStyle name="40 % - Accent4 19" xfId="7103"/>
    <cellStyle name="40 % - Accent4 19 2" xfId="7104"/>
    <cellStyle name="40 % - Accent4 19 2 2" xfId="7105"/>
    <cellStyle name="40 % - Accent4 19 2 3" xfId="7106"/>
    <cellStyle name="40 % - Accent4 19 3" xfId="7107"/>
    <cellStyle name="40 % - Accent4 19 3 2" xfId="7108"/>
    <cellStyle name="40 % - Accent4 19 3 3" xfId="7109"/>
    <cellStyle name="40 % - Accent4 19 4" xfId="7110"/>
    <cellStyle name="40 % - Accent4 19 5" xfId="7111"/>
    <cellStyle name="40 % - Accent4 2" xfId="721"/>
    <cellStyle name="40 % - Accent4 2 2" xfId="722"/>
    <cellStyle name="40 % - Accent4 2 2 2" xfId="723"/>
    <cellStyle name="40 % - Accent4 2 2 3" xfId="7112"/>
    <cellStyle name="40 % - Accent4 2 3" xfId="724"/>
    <cellStyle name="40 % - Accent4 2 3 2" xfId="7113"/>
    <cellStyle name="40 % - Accent4 2 3 3" xfId="7114"/>
    <cellStyle name="40 % - Accent4 2 4" xfId="7115"/>
    <cellStyle name="40 % - Accent4 2 5" xfId="7116"/>
    <cellStyle name="40 % - Accent4 20" xfId="7117"/>
    <cellStyle name="40 % - Accent4 20 2" xfId="7118"/>
    <cellStyle name="40 % - Accent4 20 2 2" xfId="7119"/>
    <cellStyle name="40 % - Accent4 20 2 3" xfId="7120"/>
    <cellStyle name="40 % - Accent4 20 3" xfId="7121"/>
    <cellStyle name="40 % - Accent4 20 3 2" xfId="7122"/>
    <cellStyle name="40 % - Accent4 20 3 3" xfId="7123"/>
    <cellStyle name="40 % - Accent4 20 4" xfId="7124"/>
    <cellStyle name="40 % - Accent4 20 5" xfId="7125"/>
    <cellStyle name="40 % - Accent4 21" xfId="7126"/>
    <cellStyle name="40 % - Accent4 21 2" xfId="7127"/>
    <cellStyle name="40 % - Accent4 21 2 2" xfId="7128"/>
    <cellStyle name="40 % - Accent4 21 2 3" xfId="7129"/>
    <cellStyle name="40 % - Accent4 21 3" xfId="7130"/>
    <cellStyle name="40 % - Accent4 21 3 2" xfId="7131"/>
    <cellStyle name="40 % - Accent4 21 3 3" xfId="7132"/>
    <cellStyle name="40 % - Accent4 21 4" xfId="7133"/>
    <cellStyle name="40 % - Accent4 21 5" xfId="7134"/>
    <cellStyle name="40 % - Accent4 22" xfId="7135"/>
    <cellStyle name="40 % - Accent4 22 2" xfId="7136"/>
    <cellStyle name="40 % - Accent4 22 2 2" xfId="7137"/>
    <cellStyle name="40 % - Accent4 22 2 3" xfId="7138"/>
    <cellStyle name="40 % - Accent4 22 3" xfId="7139"/>
    <cellStyle name="40 % - Accent4 22 3 2" xfId="7140"/>
    <cellStyle name="40 % - Accent4 22 3 3" xfId="7141"/>
    <cellStyle name="40 % - Accent4 22 4" xfId="7142"/>
    <cellStyle name="40 % - Accent4 22 5" xfId="7143"/>
    <cellStyle name="40 % - Accent4 23" xfId="7144"/>
    <cellStyle name="40 % - Accent4 23 2" xfId="7145"/>
    <cellStyle name="40 % - Accent4 23 2 2" xfId="7146"/>
    <cellStyle name="40 % - Accent4 23 2 3" xfId="7147"/>
    <cellStyle name="40 % - Accent4 23 3" xfId="7148"/>
    <cellStyle name="40 % - Accent4 23 3 2" xfId="7149"/>
    <cellStyle name="40 % - Accent4 23 3 3" xfId="7150"/>
    <cellStyle name="40 % - Accent4 23 4" xfId="7151"/>
    <cellStyle name="40 % - Accent4 23 5" xfId="7152"/>
    <cellStyle name="40 % - Accent4 24" xfId="7153"/>
    <cellStyle name="40 % - Accent4 24 2" xfId="7154"/>
    <cellStyle name="40 % - Accent4 24 2 2" xfId="7155"/>
    <cellStyle name="40 % - Accent4 24 2 3" xfId="7156"/>
    <cellStyle name="40 % - Accent4 24 3" xfId="7157"/>
    <cellStyle name="40 % - Accent4 24 3 2" xfId="7158"/>
    <cellStyle name="40 % - Accent4 24 3 3" xfId="7159"/>
    <cellStyle name="40 % - Accent4 24 4" xfId="7160"/>
    <cellStyle name="40 % - Accent4 24 5" xfId="7161"/>
    <cellStyle name="40 % - Accent4 25" xfId="7162"/>
    <cellStyle name="40 % - Accent4 25 2" xfId="7163"/>
    <cellStyle name="40 % - Accent4 25 2 2" xfId="7164"/>
    <cellStyle name="40 % - Accent4 25 2 3" xfId="7165"/>
    <cellStyle name="40 % - Accent4 25 3" xfId="7166"/>
    <cellStyle name="40 % - Accent4 25 3 2" xfId="7167"/>
    <cellStyle name="40 % - Accent4 25 3 3" xfId="7168"/>
    <cellStyle name="40 % - Accent4 25 4" xfId="7169"/>
    <cellStyle name="40 % - Accent4 25 5" xfId="7170"/>
    <cellStyle name="40 % - Accent4 26" xfId="7171"/>
    <cellStyle name="40 % - Accent4 26 2" xfId="7172"/>
    <cellStyle name="40 % - Accent4 26 2 2" xfId="7173"/>
    <cellStyle name="40 % - Accent4 26 2 3" xfId="7174"/>
    <cellStyle name="40 % - Accent4 26 3" xfId="7175"/>
    <cellStyle name="40 % - Accent4 26 3 2" xfId="7176"/>
    <cellStyle name="40 % - Accent4 26 3 3" xfId="7177"/>
    <cellStyle name="40 % - Accent4 26 4" xfId="7178"/>
    <cellStyle name="40 % - Accent4 26 5" xfId="7179"/>
    <cellStyle name="40 % - Accent4 27" xfId="7180"/>
    <cellStyle name="40 % - Accent4 27 2" xfId="7181"/>
    <cellStyle name="40 % - Accent4 27 2 2" xfId="7182"/>
    <cellStyle name="40 % - Accent4 27 2 3" xfId="7183"/>
    <cellStyle name="40 % - Accent4 27 3" xfId="7184"/>
    <cellStyle name="40 % - Accent4 27 3 2" xfId="7185"/>
    <cellStyle name="40 % - Accent4 27 3 3" xfId="7186"/>
    <cellStyle name="40 % - Accent4 27 4" xfId="7187"/>
    <cellStyle name="40 % - Accent4 27 5" xfId="7188"/>
    <cellStyle name="40 % - Accent4 28" xfId="7189"/>
    <cellStyle name="40 % - Accent4 28 2" xfId="7190"/>
    <cellStyle name="40 % - Accent4 28 2 2" xfId="7191"/>
    <cellStyle name="40 % - Accent4 28 2 3" xfId="7192"/>
    <cellStyle name="40 % - Accent4 28 3" xfId="7193"/>
    <cellStyle name="40 % - Accent4 28 3 2" xfId="7194"/>
    <cellStyle name="40 % - Accent4 28 3 3" xfId="7195"/>
    <cellStyle name="40 % - Accent4 28 4" xfId="7196"/>
    <cellStyle name="40 % - Accent4 28 5" xfId="7197"/>
    <cellStyle name="40 % - Accent4 29" xfId="7198"/>
    <cellStyle name="40 % - Accent4 29 2" xfId="7199"/>
    <cellStyle name="40 % - Accent4 29 2 2" xfId="7200"/>
    <cellStyle name="40 % - Accent4 29 2 3" xfId="7201"/>
    <cellStyle name="40 % - Accent4 29 3" xfId="7202"/>
    <cellStyle name="40 % - Accent4 29 3 2" xfId="7203"/>
    <cellStyle name="40 % - Accent4 29 3 3" xfId="7204"/>
    <cellStyle name="40 % - Accent4 29 4" xfId="7205"/>
    <cellStyle name="40 % - Accent4 29 5" xfId="7206"/>
    <cellStyle name="40 % - Accent4 3" xfId="725"/>
    <cellStyle name="40 % - Accent4 3 2" xfId="726"/>
    <cellStyle name="40 % - Accent4 3 2 2" xfId="727"/>
    <cellStyle name="40 % - Accent4 3 2 3" xfId="7207"/>
    <cellStyle name="40 % - Accent4 3 3" xfId="728"/>
    <cellStyle name="40 % - Accent4 3 3 2" xfId="7208"/>
    <cellStyle name="40 % - Accent4 3 3 3" xfId="7209"/>
    <cellStyle name="40 % - Accent4 3 4" xfId="7210"/>
    <cellStyle name="40 % - Accent4 3 5" xfId="7211"/>
    <cellStyle name="40 % - Accent4 30" xfId="7212"/>
    <cellStyle name="40 % - Accent4 30 2" xfId="7213"/>
    <cellStyle name="40 % - Accent4 30 2 2" xfId="7214"/>
    <cellStyle name="40 % - Accent4 30 2 3" xfId="7215"/>
    <cellStyle name="40 % - Accent4 30 3" xfId="7216"/>
    <cellStyle name="40 % - Accent4 30 3 2" xfId="7217"/>
    <cellStyle name="40 % - Accent4 30 3 3" xfId="7218"/>
    <cellStyle name="40 % - Accent4 30 4" xfId="7219"/>
    <cellStyle name="40 % - Accent4 30 5" xfId="7220"/>
    <cellStyle name="40 % - Accent4 31" xfId="7221"/>
    <cellStyle name="40 % - Accent4 31 2" xfId="7222"/>
    <cellStyle name="40 % - Accent4 31 2 2" xfId="7223"/>
    <cellStyle name="40 % - Accent4 31 2 3" xfId="7224"/>
    <cellStyle name="40 % - Accent4 31 3" xfId="7225"/>
    <cellStyle name="40 % - Accent4 31 3 2" xfId="7226"/>
    <cellStyle name="40 % - Accent4 31 3 3" xfId="7227"/>
    <cellStyle name="40 % - Accent4 31 4" xfId="7228"/>
    <cellStyle name="40 % - Accent4 31 5" xfId="7229"/>
    <cellStyle name="40 % - Accent4 32" xfId="7230"/>
    <cellStyle name="40 % - Accent4 32 2" xfId="7231"/>
    <cellStyle name="40 % - Accent4 32 2 2" xfId="7232"/>
    <cellStyle name="40 % - Accent4 32 2 3" xfId="7233"/>
    <cellStyle name="40 % - Accent4 32 3" xfId="7234"/>
    <cellStyle name="40 % - Accent4 32 3 2" xfId="7235"/>
    <cellStyle name="40 % - Accent4 32 3 3" xfId="7236"/>
    <cellStyle name="40 % - Accent4 32 4" xfId="7237"/>
    <cellStyle name="40 % - Accent4 32 5" xfId="7238"/>
    <cellStyle name="40 % - Accent4 33" xfId="7239"/>
    <cellStyle name="40 % - Accent4 33 2" xfId="7240"/>
    <cellStyle name="40 % - Accent4 33 2 2" xfId="7241"/>
    <cellStyle name="40 % - Accent4 33 2 3" xfId="7242"/>
    <cellStyle name="40 % - Accent4 33 3" xfId="7243"/>
    <cellStyle name="40 % - Accent4 33 3 2" xfId="7244"/>
    <cellStyle name="40 % - Accent4 33 3 3" xfId="7245"/>
    <cellStyle name="40 % - Accent4 33 4" xfId="7246"/>
    <cellStyle name="40 % - Accent4 33 5" xfId="7247"/>
    <cellStyle name="40 % - Accent4 34" xfId="7248"/>
    <cellStyle name="40 % - Accent4 34 2" xfId="7249"/>
    <cellStyle name="40 % - Accent4 34 2 2" xfId="7250"/>
    <cellStyle name="40 % - Accent4 34 2 3" xfId="7251"/>
    <cellStyle name="40 % - Accent4 34 3" xfId="7252"/>
    <cellStyle name="40 % - Accent4 34 3 2" xfId="7253"/>
    <cellStyle name="40 % - Accent4 34 3 3" xfId="7254"/>
    <cellStyle name="40 % - Accent4 34 4" xfId="7255"/>
    <cellStyle name="40 % - Accent4 34 5" xfId="7256"/>
    <cellStyle name="40 % - Accent4 35" xfId="7257"/>
    <cellStyle name="40 % - Accent4 35 2" xfId="7258"/>
    <cellStyle name="40 % - Accent4 35 2 2" xfId="7259"/>
    <cellStyle name="40 % - Accent4 35 2 3" xfId="7260"/>
    <cellStyle name="40 % - Accent4 35 3" xfId="7261"/>
    <cellStyle name="40 % - Accent4 35 3 2" xfId="7262"/>
    <cellStyle name="40 % - Accent4 35 3 3" xfId="7263"/>
    <cellStyle name="40 % - Accent4 35 4" xfId="7264"/>
    <cellStyle name="40 % - Accent4 35 5" xfId="7265"/>
    <cellStyle name="40 % - Accent4 36" xfId="7266"/>
    <cellStyle name="40 % - Accent4 36 2" xfId="7267"/>
    <cellStyle name="40 % - Accent4 36 2 2" xfId="7268"/>
    <cellStyle name="40 % - Accent4 36 2 3" xfId="7269"/>
    <cellStyle name="40 % - Accent4 36 3" xfId="7270"/>
    <cellStyle name="40 % - Accent4 36 3 2" xfId="7271"/>
    <cellStyle name="40 % - Accent4 36 3 3" xfId="7272"/>
    <cellStyle name="40 % - Accent4 36 4" xfId="7273"/>
    <cellStyle name="40 % - Accent4 36 5" xfId="7274"/>
    <cellStyle name="40 % - Accent4 37" xfId="7275"/>
    <cellStyle name="40 % - Accent4 37 2" xfId="7276"/>
    <cellStyle name="40 % - Accent4 37 2 2" xfId="7277"/>
    <cellStyle name="40 % - Accent4 37 2 3" xfId="7278"/>
    <cellStyle name="40 % - Accent4 37 3" xfId="7279"/>
    <cellStyle name="40 % - Accent4 37 3 2" xfId="7280"/>
    <cellStyle name="40 % - Accent4 37 3 3" xfId="7281"/>
    <cellStyle name="40 % - Accent4 37 4" xfId="7282"/>
    <cellStyle name="40 % - Accent4 37 5" xfId="7283"/>
    <cellStyle name="40 % - Accent4 38" xfId="7284"/>
    <cellStyle name="40 % - Accent4 38 2" xfId="7285"/>
    <cellStyle name="40 % - Accent4 38 2 2" xfId="7286"/>
    <cellStyle name="40 % - Accent4 38 2 3" xfId="7287"/>
    <cellStyle name="40 % - Accent4 38 3" xfId="7288"/>
    <cellStyle name="40 % - Accent4 38 3 2" xfId="7289"/>
    <cellStyle name="40 % - Accent4 38 3 3" xfId="7290"/>
    <cellStyle name="40 % - Accent4 38 4" xfId="7291"/>
    <cellStyle name="40 % - Accent4 38 5" xfId="7292"/>
    <cellStyle name="40 % - Accent4 39" xfId="7293"/>
    <cellStyle name="40 % - Accent4 39 2" xfId="7294"/>
    <cellStyle name="40 % - Accent4 39 2 2" xfId="7295"/>
    <cellStyle name="40 % - Accent4 39 2 3" xfId="7296"/>
    <cellStyle name="40 % - Accent4 39 3" xfId="7297"/>
    <cellStyle name="40 % - Accent4 39 3 2" xfId="7298"/>
    <cellStyle name="40 % - Accent4 39 3 3" xfId="7299"/>
    <cellStyle name="40 % - Accent4 39 4" xfId="7300"/>
    <cellStyle name="40 % - Accent4 39 5" xfId="7301"/>
    <cellStyle name="40 % - Accent4 4" xfId="729"/>
    <cellStyle name="40 % - Accent4 4 2" xfId="730"/>
    <cellStyle name="40 % - Accent4 4 2 2" xfId="731"/>
    <cellStyle name="40 % - Accent4 4 2 3" xfId="7302"/>
    <cellStyle name="40 % - Accent4 4 3" xfId="732"/>
    <cellStyle name="40 % - Accent4 4 3 2" xfId="7303"/>
    <cellStyle name="40 % - Accent4 4 3 3" xfId="7304"/>
    <cellStyle name="40 % - Accent4 4 4" xfId="7305"/>
    <cellStyle name="40 % - Accent4 4 5" xfId="7306"/>
    <cellStyle name="40 % - Accent4 40" xfId="7307"/>
    <cellStyle name="40 % - Accent4 40 2" xfId="7308"/>
    <cellStyle name="40 % - Accent4 40 2 2" xfId="7309"/>
    <cellStyle name="40 % - Accent4 40 2 3" xfId="7310"/>
    <cellStyle name="40 % - Accent4 40 3" xfId="7311"/>
    <cellStyle name="40 % - Accent4 40 3 2" xfId="7312"/>
    <cellStyle name="40 % - Accent4 40 3 3" xfId="7313"/>
    <cellStyle name="40 % - Accent4 40 4" xfId="7314"/>
    <cellStyle name="40 % - Accent4 40 5" xfId="7315"/>
    <cellStyle name="40 % - Accent4 41" xfId="7316"/>
    <cellStyle name="40 % - Accent4 41 2" xfId="7317"/>
    <cellStyle name="40 % - Accent4 41 2 2" xfId="7318"/>
    <cellStyle name="40 % - Accent4 41 2 3" xfId="7319"/>
    <cellStyle name="40 % - Accent4 41 3" xfId="7320"/>
    <cellStyle name="40 % - Accent4 41 3 2" xfId="7321"/>
    <cellStyle name="40 % - Accent4 41 3 3" xfId="7322"/>
    <cellStyle name="40 % - Accent4 41 4" xfId="7323"/>
    <cellStyle name="40 % - Accent4 41 5" xfId="7324"/>
    <cellStyle name="40 % - Accent4 42" xfId="7325"/>
    <cellStyle name="40 % - Accent4 42 2" xfId="7326"/>
    <cellStyle name="40 % - Accent4 42 2 2" xfId="7327"/>
    <cellStyle name="40 % - Accent4 42 2 3" xfId="7328"/>
    <cellStyle name="40 % - Accent4 42 3" xfId="7329"/>
    <cellStyle name="40 % - Accent4 42 3 2" xfId="7330"/>
    <cellStyle name="40 % - Accent4 42 3 3" xfId="7331"/>
    <cellStyle name="40 % - Accent4 42 4" xfId="7332"/>
    <cellStyle name="40 % - Accent4 42 5" xfId="7333"/>
    <cellStyle name="40 % - Accent4 43" xfId="7334"/>
    <cellStyle name="40 % - Accent4 43 2" xfId="7335"/>
    <cellStyle name="40 % - Accent4 43 2 2" xfId="7336"/>
    <cellStyle name="40 % - Accent4 43 2 3" xfId="7337"/>
    <cellStyle name="40 % - Accent4 43 3" xfId="7338"/>
    <cellStyle name="40 % - Accent4 43 3 2" xfId="7339"/>
    <cellStyle name="40 % - Accent4 43 3 3" xfId="7340"/>
    <cellStyle name="40 % - Accent4 43 4" xfId="7341"/>
    <cellStyle name="40 % - Accent4 43 5" xfId="7342"/>
    <cellStyle name="40 % - Accent4 44" xfId="7343"/>
    <cellStyle name="40 % - Accent4 44 2" xfId="7344"/>
    <cellStyle name="40 % - Accent4 44 2 2" xfId="7345"/>
    <cellStyle name="40 % - Accent4 44 2 3" xfId="7346"/>
    <cellStyle name="40 % - Accent4 44 3" xfId="7347"/>
    <cellStyle name="40 % - Accent4 44 3 2" xfId="7348"/>
    <cellStyle name="40 % - Accent4 44 3 3" xfId="7349"/>
    <cellStyle name="40 % - Accent4 44 4" xfId="7350"/>
    <cellStyle name="40 % - Accent4 44 5" xfId="7351"/>
    <cellStyle name="40 % - Accent4 45" xfId="7352"/>
    <cellStyle name="40 % - Accent4 45 2" xfId="7353"/>
    <cellStyle name="40 % - Accent4 45 2 2" xfId="7354"/>
    <cellStyle name="40 % - Accent4 45 2 3" xfId="7355"/>
    <cellStyle name="40 % - Accent4 45 3" xfId="7356"/>
    <cellStyle name="40 % - Accent4 45 3 2" xfId="7357"/>
    <cellStyle name="40 % - Accent4 45 3 3" xfId="7358"/>
    <cellStyle name="40 % - Accent4 45 4" xfId="7359"/>
    <cellStyle name="40 % - Accent4 45 5" xfId="7360"/>
    <cellStyle name="40 % - Accent4 46" xfId="7361"/>
    <cellStyle name="40 % - Accent4 46 2" xfId="7362"/>
    <cellStyle name="40 % - Accent4 46 2 2" xfId="7363"/>
    <cellStyle name="40 % - Accent4 46 2 3" xfId="7364"/>
    <cellStyle name="40 % - Accent4 46 3" xfId="7365"/>
    <cellStyle name="40 % - Accent4 46 3 2" xfId="7366"/>
    <cellStyle name="40 % - Accent4 46 3 3" xfId="7367"/>
    <cellStyle name="40 % - Accent4 46 4" xfId="7368"/>
    <cellStyle name="40 % - Accent4 46 5" xfId="7369"/>
    <cellStyle name="40 % - Accent4 47" xfId="7370"/>
    <cellStyle name="40 % - Accent4 47 2" xfId="7371"/>
    <cellStyle name="40 % - Accent4 47 2 2" xfId="7372"/>
    <cellStyle name="40 % - Accent4 47 2 3" xfId="7373"/>
    <cellStyle name="40 % - Accent4 47 3" xfId="7374"/>
    <cellStyle name="40 % - Accent4 47 3 2" xfId="7375"/>
    <cellStyle name="40 % - Accent4 47 3 3" xfId="7376"/>
    <cellStyle name="40 % - Accent4 47 4" xfId="7377"/>
    <cellStyle name="40 % - Accent4 47 5" xfId="7378"/>
    <cellStyle name="40 % - Accent4 48" xfId="7379"/>
    <cellStyle name="40 % - Accent4 48 2" xfId="7380"/>
    <cellStyle name="40 % - Accent4 48 2 2" xfId="7381"/>
    <cellStyle name="40 % - Accent4 48 2 3" xfId="7382"/>
    <cellStyle name="40 % - Accent4 48 3" xfId="7383"/>
    <cellStyle name="40 % - Accent4 48 3 2" xfId="7384"/>
    <cellStyle name="40 % - Accent4 48 3 3" xfId="7385"/>
    <cellStyle name="40 % - Accent4 48 4" xfId="7386"/>
    <cellStyle name="40 % - Accent4 48 5" xfId="7387"/>
    <cellStyle name="40 % - Accent4 49" xfId="7388"/>
    <cellStyle name="40 % - Accent4 49 2" xfId="7389"/>
    <cellStyle name="40 % - Accent4 49 2 2" xfId="7390"/>
    <cellStyle name="40 % - Accent4 49 2 3" xfId="7391"/>
    <cellStyle name="40 % - Accent4 49 3" xfId="7392"/>
    <cellStyle name="40 % - Accent4 49 3 2" xfId="7393"/>
    <cellStyle name="40 % - Accent4 49 3 3" xfId="7394"/>
    <cellStyle name="40 % - Accent4 49 4" xfId="7395"/>
    <cellStyle name="40 % - Accent4 49 5" xfId="7396"/>
    <cellStyle name="40 % - Accent4 5" xfId="733"/>
    <cellStyle name="40 % - Accent4 5 2" xfId="734"/>
    <cellStyle name="40 % - Accent4 5 2 2" xfId="735"/>
    <cellStyle name="40 % - Accent4 5 2 3" xfId="7397"/>
    <cellStyle name="40 % - Accent4 5 3" xfId="736"/>
    <cellStyle name="40 % - Accent4 5 3 2" xfId="7398"/>
    <cellStyle name="40 % - Accent4 5 3 3" xfId="7399"/>
    <cellStyle name="40 % - Accent4 5 4" xfId="7400"/>
    <cellStyle name="40 % - Accent4 5 5" xfId="7401"/>
    <cellStyle name="40 % - Accent4 50" xfId="7402"/>
    <cellStyle name="40 % - Accent4 50 2" xfId="7403"/>
    <cellStyle name="40 % - Accent4 50 2 2" xfId="7404"/>
    <cellStyle name="40 % - Accent4 50 2 3" xfId="7405"/>
    <cellStyle name="40 % - Accent4 50 3" xfId="7406"/>
    <cellStyle name="40 % - Accent4 50 3 2" xfId="7407"/>
    <cellStyle name="40 % - Accent4 50 3 3" xfId="7408"/>
    <cellStyle name="40 % - Accent4 50 4" xfId="7409"/>
    <cellStyle name="40 % - Accent4 50 5" xfId="7410"/>
    <cellStyle name="40 % - Accent4 51" xfId="7411"/>
    <cellStyle name="40 % - Accent4 51 2" xfId="7412"/>
    <cellStyle name="40 % - Accent4 51 2 2" xfId="7413"/>
    <cellStyle name="40 % - Accent4 51 2 3" xfId="7414"/>
    <cellStyle name="40 % - Accent4 51 3" xfId="7415"/>
    <cellStyle name="40 % - Accent4 51 3 2" xfId="7416"/>
    <cellStyle name="40 % - Accent4 51 3 3" xfId="7417"/>
    <cellStyle name="40 % - Accent4 51 4" xfId="7418"/>
    <cellStyle name="40 % - Accent4 51 5" xfId="7419"/>
    <cellStyle name="40 % - Accent4 52" xfId="7420"/>
    <cellStyle name="40 % - Accent4 52 2" xfId="7421"/>
    <cellStyle name="40 % - Accent4 52 2 2" xfId="7422"/>
    <cellStyle name="40 % - Accent4 52 2 3" xfId="7423"/>
    <cellStyle name="40 % - Accent4 52 3" xfId="7424"/>
    <cellStyle name="40 % - Accent4 52 3 2" xfId="7425"/>
    <cellStyle name="40 % - Accent4 52 3 3" xfId="7426"/>
    <cellStyle name="40 % - Accent4 52 4" xfId="7427"/>
    <cellStyle name="40 % - Accent4 52 5" xfId="7428"/>
    <cellStyle name="40 % - Accent4 53" xfId="7429"/>
    <cellStyle name="40 % - Accent4 53 2" xfId="7430"/>
    <cellStyle name="40 % - Accent4 53 2 2" xfId="7431"/>
    <cellStyle name="40 % - Accent4 53 2 3" xfId="7432"/>
    <cellStyle name="40 % - Accent4 53 3" xfId="7433"/>
    <cellStyle name="40 % - Accent4 53 3 2" xfId="7434"/>
    <cellStyle name="40 % - Accent4 53 3 3" xfId="7435"/>
    <cellStyle name="40 % - Accent4 53 4" xfId="7436"/>
    <cellStyle name="40 % - Accent4 53 5" xfId="7437"/>
    <cellStyle name="40 % - Accent4 54" xfId="7438"/>
    <cellStyle name="40 % - Accent4 54 2" xfId="7439"/>
    <cellStyle name="40 % - Accent4 54 2 2" xfId="7440"/>
    <cellStyle name="40 % - Accent4 54 2 3" xfId="7441"/>
    <cellStyle name="40 % - Accent4 54 3" xfId="7442"/>
    <cellStyle name="40 % - Accent4 54 3 2" xfId="7443"/>
    <cellStyle name="40 % - Accent4 54 3 3" xfId="7444"/>
    <cellStyle name="40 % - Accent4 54 4" xfId="7445"/>
    <cellStyle name="40 % - Accent4 54 5" xfId="7446"/>
    <cellStyle name="40 % - Accent4 55" xfId="7447"/>
    <cellStyle name="40 % - Accent4 55 2" xfId="7448"/>
    <cellStyle name="40 % - Accent4 55 2 2" xfId="7449"/>
    <cellStyle name="40 % - Accent4 55 2 3" xfId="7450"/>
    <cellStyle name="40 % - Accent4 55 3" xfId="7451"/>
    <cellStyle name="40 % - Accent4 55 3 2" xfId="7452"/>
    <cellStyle name="40 % - Accent4 55 3 3" xfId="7453"/>
    <cellStyle name="40 % - Accent4 55 4" xfId="7454"/>
    <cellStyle name="40 % - Accent4 55 5" xfId="7455"/>
    <cellStyle name="40 % - Accent4 56" xfId="7456"/>
    <cellStyle name="40 % - Accent4 56 2" xfId="7457"/>
    <cellStyle name="40 % - Accent4 56 2 2" xfId="7458"/>
    <cellStyle name="40 % - Accent4 56 2 3" xfId="7459"/>
    <cellStyle name="40 % - Accent4 56 3" xfId="7460"/>
    <cellStyle name="40 % - Accent4 56 3 2" xfId="7461"/>
    <cellStyle name="40 % - Accent4 56 3 3" xfId="7462"/>
    <cellStyle name="40 % - Accent4 56 4" xfId="7463"/>
    <cellStyle name="40 % - Accent4 56 5" xfId="7464"/>
    <cellStyle name="40 % - Accent4 57" xfId="7465"/>
    <cellStyle name="40 % - Accent4 57 2" xfId="7466"/>
    <cellStyle name="40 % - Accent4 57 2 2" xfId="7467"/>
    <cellStyle name="40 % - Accent4 57 2 3" xfId="7468"/>
    <cellStyle name="40 % - Accent4 57 3" xfId="7469"/>
    <cellStyle name="40 % - Accent4 57 3 2" xfId="7470"/>
    <cellStyle name="40 % - Accent4 57 3 3" xfId="7471"/>
    <cellStyle name="40 % - Accent4 57 4" xfId="7472"/>
    <cellStyle name="40 % - Accent4 57 5" xfId="7473"/>
    <cellStyle name="40 % - Accent4 58" xfId="7474"/>
    <cellStyle name="40 % - Accent4 58 2" xfId="7475"/>
    <cellStyle name="40 % - Accent4 58 2 2" xfId="7476"/>
    <cellStyle name="40 % - Accent4 58 2 3" xfId="7477"/>
    <cellStyle name="40 % - Accent4 58 3" xfId="7478"/>
    <cellStyle name="40 % - Accent4 58 3 2" xfId="7479"/>
    <cellStyle name="40 % - Accent4 58 3 3" xfId="7480"/>
    <cellStyle name="40 % - Accent4 58 4" xfId="7481"/>
    <cellStyle name="40 % - Accent4 58 5" xfId="7482"/>
    <cellStyle name="40 % - Accent4 59" xfId="7483"/>
    <cellStyle name="40 % - Accent4 59 2" xfId="7484"/>
    <cellStyle name="40 % - Accent4 59 2 2" xfId="7485"/>
    <cellStyle name="40 % - Accent4 59 2 3" xfId="7486"/>
    <cellStyle name="40 % - Accent4 59 3" xfId="7487"/>
    <cellStyle name="40 % - Accent4 59 3 2" xfId="7488"/>
    <cellStyle name="40 % - Accent4 59 3 3" xfId="7489"/>
    <cellStyle name="40 % - Accent4 59 4" xfId="7490"/>
    <cellStyle name="40 % - Accent4 59 5" xfId="7491"/>
    <cellStyle name="40 % - Accent4 6" xfId="737"/>
    <cellStyle name="40 % - Accent4 6 2" xfId="738"/>
    <cellStyle name="40 % - Accent4 6 2 2" xfId="739"/>
    <cellStyle name="40 % - Accent4 6 2 3" xfId="7492"/>
    <cellStyle name="40 % - Accent4 6 3" xfId="740"/>
    <cellStyle name="40 % - Accent4 6 3 2" xfId="7493"/>
    <cellStyle name="40 % - Accent4 6 3 3" xfId="7494"/>
    <cellStyle name="40 % - Accent4 6 4" xfId="7495"/>
    <cellStyle name="40 % - Accent4 6 5" xfId="7496"/>
    <cellStyle name="40 % - Accent4 60" xfId="7497"/>
    <cellStyle name="40 % - Accent4 60 2" xfId="7498"/>
    <cellStyle name="40 % - Accent4 60 2 2" xfId="7499"/>
    <cellStyle name="40 % - Accent4 60 2 3" xfId="7500"/>
    <cellStyle name="40 % - Accent4 60 3" xfId="7501"/>
    <cellStyle name="40 % - Accent4 60 3 2" xfId="7502"/>
    <cellStyle name="40 % - Accent4 60 3 3" xfId="7503"/>
    <cellStyle name="40 % - Accent4 60 4" xfId="7504"/>
    <cellStyle name="40 % - Accent4 60 5" xfId="7505"/>
    <cellStyle name="40 % - Accent4 61" xfId="7506"/>
    <cellStyle name="40 % - Accent4 61 2" xfId="7507"/>
    <cellStyle name="40 % - Accent4 61 2 2" xfId="7508"/>
    <cellStyle name="40 % - Accent4 61 2 3" xfId="7509"/>
    <cellStyle name="40 % - Accent4 61 3" xfId="7510"/>
    <cellStyle name="40 % - Accent4 61 3 2" xfId="7511"/>
    <cellStyle name="40 % - Accent4 61 3 3" xfId="7512"/>
    <cellStyle name="40 % - Accent4 61 4" xfId="7513"/>
    <cellStyle name="40 % - Accent4 61 5" xfId="7514"/>
    <cellStyle name="40 % - Accent4 62" xfId="7515"/>
    <cellStyle name="40 % - Accent4 62 2" xfId="7516"/>
    <cellStyle name="40 % - Accent4 62 2 2" xfId="7517"/>
    <cellStyle name="40 % - Accent4 62 2 3" xfId="7518"/>
    <cellStyle name="40 % - Accent4 62 3" xfId="7519"/>
    <cellStyle name="40 % - Accent4 62 3 2" xfId="7520"/>
    <cellStyle name="40 % - Accent4 62 3 3" xfId="7521"/>
    <cellStyle name="40 % - Accent4 62 4" xfId="7522"/>
    <cellStyle name="40 % - Accent4 62 5" xfId="7523"/>
    <cellStyle name="40 % - Accent4 63" xfId="7524"/>
    <cellStyle name="40 % - Accent4 63 2" xfId="7525"/>
    <cellStyle name="40 % - Accent4 63 2 2" xfId="7526"/>
    <cellStyle name="40 % - Accent4 63 2 3" xfId="7527"/>
    <cellStyle name="40 % - Accent4 63 3" xfId="7528"/>
    <cellStyle name="40 % - Accent4 63 3 2" xfId="7529"/>
    <cellStyle name="40 % - Accent4 63 3 3" xfId="7530"/>
    <cellStyle name="40 % - Accent4 63 4" xfId="7531"/>
    <cellStyle name="40 % - Accent4 63 5" xfId="7532"/>
    <cellStyle name="40 % - Accent4 64" xfId="7533"/>
    <cellStyle name="40 % - Accent4 64 2" xfId="7534"/>
    <cellStyle name="40 % - Accent4 64 2 2" xfId="7535"/>
    <cellStyle name="40 % - Accent4 64 2 3" xfId="7536"/>
    <cellStyle name="40 % - Accent4 64 3" xfId="7537"/>
    <cellStyle name="40 % - Accent4 64 3 2" xfId="7538"/>
    <cellStyle name="40 % - Accent4 64 3 3" xfId="7539"/>
    <cellStyle name="40 % - Accent4 64 4" xfId="7540"/>
    <cellStyle name="40 % - Accent4 64 5" xfId="7541"/>
    <cellStyle name="40 % - Accent4 65" xfId="7542"/>
    <cellStyle name="40 % - Accent4 65 2" xfId="7543"/>
    <cellStyle name="40 % - Accent4 65 2 2" xfId="7544"/>
    <cellStyle name="40 % - Accent4 65 2 3" xfId="7545"/>
    <cellStyle name="40 % - Accent4 65 3" xfId="7546"/>
    <cellStyle name="40 % - Accent4 65 3 2" xfId="7547"/>
    <cellStyle name="40 % - Accent4 65 3 3" xfId="7548"/>
    <cellStyle name="40 % - Accent4 65 4" xfId="7549"/>
    <cellStyle name="40 % - Accent4 65 5" xfId="7550"/>
    <cellStyle name="40 % - Accent4 66" xfId="7551"/>
    <cellStyle name="40 % - Accent4 66 2" xfId="7552"/>
    <cellStyle name="40 % - Accent4 66 2 2" xfId="7553"/>
    <cellStyle name="40 % - Accent4 66 2 3" xfId="7554"/>
    <cellStyle name="40 % - Accent4 66 3" xfId="7555"/>
    <cellStyle name="40 % - Accent4 66 3 2" xfId="7556"/>
    <cellStyle name="40 % - Accent4 66 3 3" xfId="7557"/>
    <cellStyle name="40 % - Accent4 66 4" xfId="7558"/>
    <cellStyle name="40 % - Accent4 66 5" xfId="7559"/>
    <cellStyle name="40 % - Accent4 67" xfId="7560"/>
    <cellStyle name="40 % - Accent4 67 2" xfId="7561"/>
    <cellStyle name="40 % - Accent4 67 2 2" xfId="7562"/>
    <cellStyle name="40 % - Accent4 67 2 3" xfId="7563"/>
    <cellStyle name="40 % - Accent4 67 3" xfId="7564"/>
    <cellStyle name="40 % - Accent4 67 3 2" xfId="7565"/>
    <cellStyle name="40 % - Accent4 67 3 3" xfId="7566"/>
    <cellStyle name="40 % - Accent4 67 4" xfId="7567"/>
    <cellStyle name="40 % - Accent4 67 5" xfId="7568"/>
    <cellStyle name="40 % - Accent4 68" xfId="7569"/>
    <cellStyle name="40 % - Accent4 68 2" xfId="7570"/>
    <cellStyle name="40 % - Accent4 68 2 2" xfId="7571"/>
    <cellStyle name="40 % - Accent4 68 2 3" xfId="7572"/>
    <cellStyle name="40 % - Accent4 68 3" xfId="7573"/>
    <cellStyle name="40 % - Accent4 68 3 2" xfId="7574"/>
    <cellStyle name="40 % - Accent4 68 3 3" xfId="7575"/>
    <cellStyle name="40 % - Accent4 68 4" xfId="7576"/>
    <cellStyle name="40 % - Accent4 68 5" xfId="7577"/>
    <cellStyle name="40 % - Accent4 69" xfId="7578"/>
    <cellStyle name="40 % - Accent4 69 2" xfId="7579"/>
    <cellStyle name="40 % - Accent4 69 2 2" xfId="7580"/>
    <cellStyle name="40 % - Accent4 69 2 3" xfId="7581"/>
    <cellStyle name="40 % - Accent4 69 3" xfId="7582"/>
    <cellStyle name="40 % - Accent4 69 3 2" xfId="7583"/>
    <cellStyle name="40 % - Accent4 69 3 3" xfId="7584"/>
    <cellStyle name="40 % - Accent4 69 4" xfId="7585"/>
    <cellStyle name="40 % - Accent4 69 5" xfId="7586"/>
    <cellStyle name="40 % - Accent4 7" xfId="741"/>
    <cellStyle name="40 % - Accent4 7 2" xfId="742"/>
    <cellStyle name="40 % - Accent4 7 2 2" xfId="743"/>
    <cellStyle name="40 % - Accent4 7 2 3" xfId="7587"/>
    <cellStyle name="40 % - Accent4 7 3" xfId="744"/>
    <cellStyle name="40 % - Accent4 7 3 2" xfId="7588"/>
    <cellStyle name="40 % - Accent4 7 3 3" xfId="7589"/>
    <cellStyle name="40 % - Accent4 7 4" xfId="7590"/>
    <cellStyle name="40 % - Accent4 7 5" xfId="7591"/>
    <cellStyle name="40 % - Accent4 70" xfId="7592"/>
    <cellStyle name="40 % - Accent4 70 2" xfId="7593"/>
    <cellStyle name="40 % - Accent4 70 2 2" xfId="7594"/>
    <cellStyle name="40 % - Accent4 70 2 3" xfId="7595"/>
    <cellStyle name="40 % - Accent4 70 3" xfId="7596"/>
    <cellStyle name="40 % - Accent4 70 3 2" xfId="7597"/>
    <cellStyle name="40 % - Accent4 70 3 3" xfId="7598"/>
    <cellStyle name="40 % - Accent4 70 4" xfId="7599"/>
    <cellStyle name="40 % - Accent4 70 5" xfId="7600"/>
    <cellStyle name="40 % - Accent4 71" xfId="7601"/>
    <cellStyle name="40 % - Accent4 71 2" xfId="7602"/>
    <cellStyle name="40 % - Accent4 71 2 2" xfId="7603"/>
    <cellStyle name="40 % - Accent4 71 2 3" xfId="7604"/>
    <cellStyle name="40 % - Accent4 71 3" xfId="7605"/>
    <cellStyle name="40 % - Accent4 71 3 2" xfId="7606"/>
    <cellStyle name="40 % - Accent4 71 3 3" xfId="7607"/>
    <cellStyle name="40 % - Accent4 71 4" xfId="7608"/>
    <cellStyle name="40 % - Accent4 71 5" xfId="7609"/>
    <cellStyle name="40 % - Accent4 72" xfId="7610"/>
    <cellStyle name="40 % - Accent4 72 2" xfId="7611"/>
    <cellStyle name="40 % - Accent4 72 2 2" xfId="7612"/>
    <cellStyle name="40 % - Accent4 72 2 3" xfId="7613"/>
    <cellStyle name="40 % - Accent4 72 3" xfId="7614"/>
    <cellStyle name="40 % - Accent4 72 3 2" xfId="7615"/>
    <cellStyle name="40 % - Accent4 72 3 3" xfId="7616"/>
    <cellStyle name="40 % - Accent4 72 4" xfId="7617"/>
    <cellStyle name="40 % - Accent4 72 5" xfId="7618"/>
    <cellStyle name="40 % - Accent4 73" xfId="7619"/>
    <cellStyle name="40 % - Accent4 73 2" xfId="7620"/>
    <cellStyle name="40 % - Accent4 73 2 2" xfId="7621"/>
    <cellStyle name="40 % - Accent4 73 2 3" xfId="7622"/>
    <cellStyle name="40 % - Accent4 73 3" xfId="7623"/>
    <cellStyle name="40 % - Accent4 73 3 2" xfId="7624"/>
    <cellStyle name="40 % - Accent4 73 3 3" xfId="7625"/>
    <cellStyle name="40 % - Accent4 73 4" xfId="7626"/>
    <cellStyle name="40 % - Accent4 73 5" xfId="7627"/>
    <cellStyle name="40 % - Accent4 74" xfId="7628"/>
    <cellStyle name="40 % - Accent4 74 2" xfId="7629"/>
    <cellStyle name="40 % - Accent4 74 3" xfId="7630"/>
    <cellStyle name="40 % - Accent4 75" xfId="7631"/>
    <cellStyle name="40 % - Accent4 75 2" xfId="7632"/>
    <cellStyle name="40 % - Accent4 75 3" xfId="7633"/>
    <cellStyle name="40 % - Accent4 76" xfId="7634"/>
    <cellStyle name="40 % - Accent4 76 2" xfId="7635"/>
    <cellStyle name="40 % - Accent4 76 3" xfId="7636"/>
    <cellStyle name="40 % - Accent4 77" xfId="7637"/>
    <cellStyle name="40 % - Accent4 77 2" xfId="7638"/>
    <cellStyle name="40 % - Accent4 77 3" xfId="7639"/>
    <cellStyle name="40 % - Accent4 78" xfId="7640"/>
    <cellStyle name="40 % - Accent4 79" xfId="7641"/>
    <cellStyle name="40 % - Accent4 8" xfId="745"/>
    <cellStyle name="40 % - Accent4 8 2" xfId="746"/>
    <cellStyle name="40 % - Accent4 8 2 2" xfId="747"/>
    <cellStyle name="40 % - Accent4 8 2 3" xfId="7642"/>
    <cellStyle name="40 % - Accent4 8 3" xfId="748"/>
    <cellStyle name="40 % - Accent4 8 3 2" xfId="7643"/>
    <cellStyle name="40 % - Accent4 8 3 3" xfId="7644"/>
    <cellStyle name="40 % - Accent4 8 4" xfId="7645"/>
    <cellStyle name="40 % - Accent4 8 5" xfId="7646"/>
    <cellStyle name="40 % - Accent4 80" xfId="7647"/>
    <cellStyle name="40 % - Accent4 81" xfId="7648"/>
    <cellStyle name="40 % - Accent4 82" xfId="7649"/>
    <cellStyle name="40 % - Accent4 83" xfId="7650"/>
    <cellStyle name="40 % - Accent4 84" xfId="7651"/>
    <cellStyle name="40 % - Accent4 85" xfId="7652"/>
    <cellStyle name="40 % - Accent4 86" xfId="7653"/>
    <cellStyle name="40 % - Accent4 87" xfId="7654"/>
    <cellStyle name="40 % - Accent4 88" xfId="7655"/>
    <cellStyle name="40 % - Accent4 89" xfId="7656"/>
    <cellStyle name="40 % - Accent4 9" xfId="749"/>
    <cellStyle name="40 % - Accent4 9 2" xfId="750"/>
    <cellStyle name="40 % - Accent4 9 2 2" xfId="751"/>
    <cellStyle name="40 % - Accent4 9 2 3" xfId="7657"/>
    <cellStyle name="40 % - Accent4 9 3" xfId="752"/>
    <cellStyle name="40 % - Accent4 9 3 2" xfId="7658"/>
    <cellStyle name="40 % - Accent4 9 3 3" xfId="7659"/>
    <cellStyle name="40 % - Accent4 9 4" xfId="7660"/>
    <cellStyle name="40 % - Accent4 9 5" xfId="7661"/>
    <cellStyle name="40 % - Accent4 90" xfId="7662"/>
    <cellStyle name="40 % - Accent4 91" xfId="7663"/>
    <cellStyle name="40 % - Accent4 92" xfId="7664"/>
    <cellStyle name="40 % - Accent4 93" xfId="7665"/>
    <cellStyle name="40 % - Accent4 94" xfId="7666"/>
    <cellStyle name="40 % - Accent4 95" xfId="7667"/>
    <cellStyle name="40 % - Accent4 96" xfId="7668"/>
    <cellStyle name="40 % - Accent4 97" xfId="7669"/>
    <cellStyle name="40 % - Accent4 98" xfId="7670"/>
    <cellStyle name="40 % - Accent4 99" xfId="7671"/>
    <cellStyle name="40 % - Accent5 10" xfId="753"/>
    <cellStyle name="40 % - Accent5 10 2" xfId="754"/>
    <cellStyle name="40 % - Accent5 10 2 2" xfId="755"/>
    <cellStyle name="40 % - Accent5 10 2 3" xfId="7672"/>
    <cellStyle name="40 % - Accent5 10 3" xfId="756"/>
    <cellStyle name="40 % - Accent5 10 3 2" xfId="7673"/>
    <cellStyle name="40 % - Accent5 10 3 3" xfId="7674"/>
    <cellStyle name="40 % - Accent5 10 4" xfId="7675"/>
    <cellStyle name="40 % - Accent5 10 5" xfId="7676"/>
    <cellStyle name="40 % - Accent5 100" xfId="7677"/>
    <cellStyle name="40 % - Accent5 101" xfId="7678"/>
    <cellStyle name="40 % - Accent5 102" xfId="7679"/>
    <cellStyle name="40 % - Accent5 103" xfId="7680"/>
    <cellStyle name="40 % - Accent5 104" xfId="7681"/>
    <cellStyle name="40 % - Accent5 105" xfId="7682"/>
    <cellStyle name="40 % - Accent5 106" xfId="7683"/>
    <cellStyle name="40 % - Accent5 107" xfId="7684"/>
    <cellStyle name="40 % - Accent5 108" xfId="7685"/>
    <cellStyle name="40 % - Accent5 109" xfId="7686"/>
    <cellStyle name="40 % - Accent5 11" xfId="757"/>
    <cellStyle name="40 % - Accent5 11 2" xfId="758"/>
    <cellStyle name="40 % - Accent5 11 2 2" xfId="759"/>
    <cellStyle name="40 % - Accent5 11 2 3" xfId="7687"/>
    <cellStyle name="40 % - Accent5 11 3" xfId="760"/>
    <cellStyle name="40 % - Accent5 11 3 2" xfId="7688"/>
    <cellStyle name="40 % - Accent5 11 3 3" xfId="7689"/>
    <cellStyle name="40 % - Accent5 11 4" xfId="7690"/>
    <cellStyle name="40 % - Accent5 11 5" xfId="7691"/>
    <cellStyle name="40 % - Accent5 110" xfId="7692"/>
    <cellStyle name="40 % - Accent5 111" xfId="7693"/>
    <cellStyle name="40 % - Accent5 112" xfId="7694"/>
    <cellStyle name="40 % - Accent5 113" xfId="7695"/>
    <cellStyle name="40 % - Accent5 114" xfId="7696"/>
    <cellStyle name="40 % - Accent5 115" xfId="7697"/>
    <cellStyle name="40 % - Accent5 116" xfId="7698"/>
    <cellStyle name="40 % - Accent5 117" xfId="7699"/>
    <cellStyle name="40 % - Accent5 118" xfId="7700"/>
    <cellStyle name="40 % - Accent5 119" xfId="7701"/>
    <cellStyle name="40 % - Accent5 12" xfId="761"/>
    <cellStyle name="40 % - Accent5 12 2" xfId="762"/>
    <cellStyle name="40 % - Accent5 12 2 2" xfId="763"/>
    <cellStyle name="40 % - Accent5 12 2 3" xfId="7702"/>
    <cellStyle name="40 % - Accent5 12 3" xfId="764"/>
    <cellStyle name="40 % - Accent5 12 3 2" xfId="7703"/>
    <cellStyle name="40 % - Accent5 12 3 3" xfId="7704"/>
    <cellStyle name="40 % - Accent5 12 4" xfId="7705"/>
    <cellStyle name="40 % - Accent5 12 5" xfId="7706"/>
    <cellStyle name="40 % - Accent5 120" xfId="7707"/>
    <cellStyle name="40 % - Accent5 121" xfId="7708"/>
    <cellStyle name="40 % - Accent5 122" xfId="7709"/>
    <cellStyle name="40 % - Accent5 123" xfId="7710"/>
    <cellStyle name="40 % - Accent5 124" xfId="7711"/>
    <cellStyle name="40 % - Accent5 125" xfId="7712"/>
    <cellStyle name="40 % - Accent5 126" xfId="7713"/>
    <cellStyle name="40 % - Accent5 127" xfId="7714"/>
    <cellStyle name="40 % - Accent5 128" xfId="7715"/>
    <cellStyle name="40 % - Accent5 129" xfId="7716"/>
    <cellStyle name="40 % - Accent5 13" xfId="765"/>
    <cellStyle name="40 % - Accent5 13 2" xfId="766"/>
    <cellStyle name="40 % - Accent5 13 2 2" xfId="767"/>
    <cellStyle name="40 % - Accent5 13 2 3" xfId="7717"/>
    <cellStyle name="40 % - Accent5 13 3" xfId="768"/>
    <cellStyle name="40 % - Accent5 13 3 2" xfId="7718"/>
    <cellStyle name="40 % - Accent5 13 3 3" xfId="7719"/>
    <cellStyle name="40 % - Accent5 13 4" xfId="7720"/>
    <cellStyle name="40 % - Accent5 13 5" xfId="7721"/>
    <cellStyle name="40 % - Accent5 130" xfId="7722"/>
    <cellStyle name="40 % - Accent5 131" xfId="7723"/>
    <cellStyle name="40 % - Accent5 132" xfId="7724"/>
    <cellStyle name="40 % - Accent5 133" xfId="7725"/>
    <cellStyle name="40 % - Accent5 134" xfId="7726"/>
    <cellStyle name="40 % - Accent5 135" xfId="7727"/>
    <cellStyle name="40 % - Accent5 136" xfId="7728"/>
    <cellStyle name="40 % - Accent5 137" xfId="7729"/>
    <cellStyle name="40 % - Accent5 138" xfId="7730"/>
    <cellStyle name="40 % - Accent5 139" xfId="7731"/>
    <cellStyle name="40 % - Accent5 14" xfId="769"/>
    <cellStyle name="40 % - Accent5 14 2" xfId="770"/>
    <cellStyle name="40 % - Accent5 14 2 2" xfId="771"/>
    <cellStyle name="40 % - Accent5 14 2 3" xfId="7732"/>
    <cellStyle name="40 % - Accent5 14 3" xfId="772"/>
    <cellStyle name="40 % - Accent5 14 3 2" xfId="7733"/>
    <cellStyle name="40 % - Accent5 14 3 3" xfId="7734"/>
    <cellStyle name="40 % - Accent5 14 4" xfId="7735"/>
    <cellStyle name="40 % - Accent5 14 5" xfId="7736"/>
    <cellStyle name="40 % - Accent5 140" xfId="7737"/>
    <cellStyle name="40 % - Accent5 15" xfId="773"/>
    <cellStyle name="40 % - Accent5 15 2" xfId="774"/>
    <cellStyle name="40 % - Accent5 15 2 2" xfId="775"/>
    <cellStyle name="40 % - Accent5 15 2 3" xfId="7738"/>
    <cellStyle name="40 % - Accent5 15 3" xfId="776"/>
    <cellStyle name="40 % - Accent5 15 3 2" xfId="7739"/>
    <cellStyle name="40 % - Accent5 15 3 3" xfId="7740"/>
    <cellStyle name="40 % - Accent5 15 4" xfId="7741"/>
    <cellStyle name="40 % - Accent5 15 5" xfId="7742"/>
    <cellStyle name="40 % - Accent5 16" xfId="777"/>
    <cellStyle name="40 % - Accent5 16 2" xfId="778"/>
    <cellStyle name="40 % - Accent5 16 2 2" xfId="779"/>
    <cellStyle name="40 % - Accent5 16 2 3" xfId="7743"/>
    <cellStyle name="40 % - Accent5 16 3" xfId="780"/>
    <cellStyle name="40 % - Accent5 16 3 2" xfId="7744"/>
    <cellStyle name="40 % - Accent5 16 3 3" xfId="7745"/>
    <cellStyle name="40 % - Accent5 16 4" xfId="7746"/>
    <cellStyle name="40 % - Accent5 16 5" xfId="7747"/>
    <cellStyle name="40 % - Accent5 17" xfId="781"/>
    <cellStyle name="40 % - Accent5 17 2" xfId="782"/>
    <cellStyle name="40 % - Accent5 17 2 2" xfId="783"/>
    <cellStyle name="40 % - Accent5 17 2 3" xfId="7748"/>
    <cellStyle name="40 % - Accent5 17 3" xfId="784"/>
    <cellStyle name="40 % - Accent5 17 3 2" xfId="7749"/>
    <cellStyle name="40 % - Accent5 17 3 3" xfId="7750"/>
    <cellStyle name="40 % - Accent5 17 4" xfId="7751"/>
    <cellStyle name="40 % - Accent5 17 5" xfId="7752"/>
    <cellStyle name="40 % - Accent5 18" xfId="785"/>
    <cellStyle name="40 % - Accent5 18 2" xfId="786"/>
    <cellStyle name="40 % - Accent5 18 2 2" xfId="787"/>
    <cellStyle name="40 % - Accent5 18 2 3" xfId="7753"/>
    <cellStyle name="40 % - Accent5 18 3" xfId="788"/>
    <cellStyle name="40 % - Accent5 18 3 2" xfId="7754"/>
    <cellStyle name="40 % - Accent5 18 3 3" xfId="7755"/>
    <cellStyle name="40 % - Accent5 18 4" xfId="7756"/>
    <cellStyle name="40 % - Accent5 18 5" xfId="7757"/>
    <cellStyle name="40 % - Accent5 19" xfId="7758"/>
    <cellStyle name="40 % - Accent5 19 2" xfId="7759"/>
    <cellStyle name="40 % - Accent5 19 2 2" xfId="7760"/>
    <cellStyle name="40 % - Accent5 19 2 3" xfId="7761"/>
    <cellStyle name="40 % - Accent5 19 3" xfId="7762"/>
    <cellStyle name="40 % - Accent5 19 3 2" xfId="7763"/>
    <cellStyle name="40 % - Accent5 19 3 3" xfId="7764"/>
    <cellStyle name="40 % - Accent5 19 4" xfId="7765"/>
    <cellStyle name="40 % - Accent5 19 5" xfId="7766"/>
    <cellStyle name="40 % - Accent5 2" xfId="789"/>
    <cellStyle name="40 % - Accent5 2 2" xfId="790"/>
    <cellStyle name="40 % - Accent5 2 2 2" xfId="791"/>
    <cellStyle name="40 % - Accent5 2 2 3" xfId="7767"/>
    <cellStyle name="40 % - Accent5 2 3" xfId="792"/>
    <cellStyle name="40 % - Accent5 2 3 2" xfId="7768"/>
    <cellStyle name="40 % - Accent5 2 3 3" xfId="7769"/>
    <cellStyle name="40 % - Accent5 2 4" xfId="7770"/>
    <cellStyle name="40 % - Accent5 2 5" xfId="7771"/>
    <cellStyle name="40 % - Accent5 20" xfId="7772"/>
    <cellStyle name="40 % - Accent5 20 2" xfId="7773"/>
    <cellStyle name="40 % - Accent5 20 2 2" xfId="7774"/>
    <cellStyle name="40 % - Accent5 20 2 3" xfId="7775"/>
    <cellStyle name="40 % - Accent5 20 3" xfId="7776"/>
    <cellStyle name="40 % - Accent5 20 3 2" xfId="7777"/>
    <cellStyle name="40 % - Accent5 20 3 3" xfId="7778"/>
    <cellStyle name="40 % - Accent5 20 4" xfId="7779"/>
    <cellStyle name="40 % - Accent5 20 5" xfId="7780"/>
    <cellStyle name="40 % - Accent5 21" xfId="7781"/>
    <cellStyle name="40 % - Accent5 21 2" xfId="7782"/>
    <cellStyle name="40 % - Accent5 21 2 2" xfId="7783"/>
    <cellStyle name="40 % - Accent5 21 2 3" xfId="7784"/>
    <cellStyle name="40 % - Accent5 21 3" xfId="7785"/>
    <cellStyle name="40 % - Accent5 21 3 2" xfId="7786"/>
    <cellStyle name="40 % - Accent5 21 3 3" xfId="7787"/>
    <cellStyle name="40 % - Accent5 21 4" xfId="7788"/>
    <cellStyle name="40 % - Accent5 21 5" xfId="7789"/>
    <cellStyle name="40 % - Accent5 22" xfId="7790"/>
    <cellStyle name="40 % - Accent5 22 2" xfId="7791"/>
    <cellStyle name="40 % - Accent5 22 2 2" xfId="7792"/>
    <cellStyle name="40 % - Accent5 22 2 3" xfId="7793"/>
    <cellStyle name="40 % - Accent5 22 3" xfId="7794"/>
    <cellStyle name="40 % - Accent5 22 3 2" xfId="7795"/>
    <cellStyle name="40 % - Accent5 22 3 3" xfId="7796"/>
    <cellStyle name="40 % - Accent5 22 4" xfId="7797"/>
    <cellStyle name="40 % - Accent5 22 5" xfId="7798"/>
    <cellStyle name="40 % - Accent5 23" xfId="7799"/>
    <cellStyle name="40 % - Accent5 23 2" xfId="7800"/>
    <cellStyle name="40 % - Accent5 23 2 2" xfId="7801"/>
    <cellStyle name="40 % - Accent5 23 2 3" xfId="7802"/>
    <cellStyle name="40 % - Accent5 23 3" xfId="7803"/>
    <cellStyle name="40 % - Accent5 23 3 2" xfId="7804"/>
    <cellStyle name="40 % - Accent5 23 3 3" xfId="7805"/>
    <cellStyle name="40 % - Accent5 23 4" xfId="7806"/>
    <cellStyle name="40 % - Accent5 23 5" xfId="7807"/>
    <cellStyle name="40 % - Accent5 24" xfId="7808"/>
    <cellStyle name="40 % - Accent5 24 2" xfId="7809"/>
    <cellStyle name="40 % - Accent5 24 2 2" xfId="7810"/>
    <cellStyle name="40 % - Accent5 24 2 3" xfId="7811"/>
    <cellStyle name="40 % - Accent5 24 3" xfId="7812"/>
    <cellStyle name="40 % - Accent5 24 3 2" xfId="7813"/>
    <cellStyle name="40 % - Accent5 24 3 3" xfId="7814"/>
    <cellStyle name="40 % - Accent5 24 4" xfId="7815"/>
    <cellStyle name="40 % - Accent5 24 5" xfId="7816"/>
    <cellStyle name="40 % - Accent5 25" xfId="7817"/>
    <cellStyle name="40 % - Accent5 25 2" xfId="7818"/>
    <cellStyle name="40 % - Accent5 25 2 2" xfId="7819"/>
    <cellStyle name="40 % - Accent5 25 2 3" xfId="7820"/>
    <cellStyle name="40 % - Accent5 25 3" xfId="7821"/>
    <cellStyle name="40 % - Accent5 25 3 2" xfId="7822"/>
    <cellStyle name="40 % - Accent5 25 3 3" xfId="7823"/>
    <cellStyle name="40 % - Accent5 25 4" xfId="7824"/>
    <cellStyle name="40 % - Accent5 25 5" xfId="7825"/>
    <cellStyle name="40 % - Accent5 26" xfId="7826"/>
    <cellStyle name="40 % - Accent5 26 2" xfId="7827"/>
    <cellStyle name="40 % - Accent5 26 2 2" xfId="7828"/>
    <cellStyle name="40 % - Accent5 26 2 3" xfId="7829"/>
    <cellStyle name="40 % - Accent5 26 3" xfId="7830"/>
    <cellStyle name="40 % - Accent5 26 3 2" xfId="7831"/>
    <cellStyle name="40 % - Accent5 26 3 3" xfId="7832"/>
    <cellStyle name="40 % - Accent5 26 4" xfId="7833"/>
    <cellStyle name="40 % - Accent5 26 5" xfId="7834"/>
    <cellStyle name="40 % - Accent5 27" xfId="7835"/>
    <cellStyle name="40 % - Accent5 27 2" xfId="7836"/>
    <cellStyle name="40 % - Accent5 27 2 2" xfId="7837"/>
    <cellStyle name="40 % - Accent5 27 2 3" xfId="7838"/>
    <cellStyle name="40 % - Accent5 27 3" xfId="7839"/>
    <cellStyle name="40 % - Accent5 27 3 2" xfId="7840"/>
    <cellStyle name="40 % - Accent5 27 3 3" xfId="7841"/>
    <cellStyle name="40 % - Accent5 27 4" xfId="7842"/>
    <cellStyle name="40 % - Accent5 27 5" xfId="7843"/>
    <cellStyle name="40 % - Accent5 28" xfId="7844"/>
    <cellStyle name="40 % - Accent5 28 2" xfId="7845"/>
    <cellStyle name="40 % - Accent5 28 2 2" xfId="7846"/>
    <cellStyle name="40 % - Accent5 28 2 3" xfId="7847"/>
    <cellStyle name="40 % - Accent5 28 3" xfId="7848"/>
    <cellStyle name="40 % - Accent5 28 3 2" xfId="7849"/>
    <cellStyle name="40 % - Accent5 28 3 3" xfId="7850"/>
    <cellStyle name="40 % - Accent5 28 4" xfId="7851"/>
    <cellStyle name="40 % - Accent5 28 5" xfId="7852"/>
    <cellStyle name="40 % - Accent5 29" xfId="7853"/>
    <cellStyle name="40 % - Accent5 29 2" xfId="7854"/>
    <cellStyle name="40 % - Accent5 29 2 2" xfId="7855"/>
    <cellStyle name="40 % - Accent5 29 2 3" xfId="7856"/>
    <cellStyle name="40 % - Accent5 29 3" xfId="7857"/>
    <cellStyle name="40 % - Accent5 29 3 2" xfId="7858"/>
    <cellStyle name="40 % - Accent5 29 3 3" xfId="7859"/>
    <cellStyle name="40 % - Accent5 29 4" xfId="7860"/>
    <cellStyle name="40 % - Accent5 29 5" xfId="7861"/>
    <cellStyle name="40 % - Accent5 3" xfId="793"/>
    <cellStyle name="40 % - Accent5 3 2" xfId="794"/>
    <cellStyle name="40 % - Accent5 3 2 2" xfId="795"/>
    <cellStyle name="40 % - Accent5 3 2 3" xfId="7862"/>
    <cellStyle name="40 % - Accent5 3 3" xfId="796"/>
    <cellStyle name="40 % - Accent5 3 3 2" xfId="7863"/>
    <cellStyle name="40 % - Accent5 3 3 3" xfId="7864"/>
    <cellStyle name="40 % - Accent5 3 4" xfId="7865"/>
    <cellStyle name="40 % - Accent5 3 5" xfId="7866"/>
    <cellStyle name="40 % - Accent5 30" xfId="7867"/>
    <cellStyle name="40 % - Accent5 30 2" xfId="7868"/>
    <cellStyle name="40 % - Accent5 30 2 2" xfId="7869"/>
    <cellStyle name="40 % - Accent5 30 2 3" xfId="7870"/>
    <cellStyle name="40 % - Accent5 30 3" xfId="7871"/>
    <cellStyle name="40 % - Accent5 30 3 2" xfId="7872"/>
    <cellStyle name="40 % - Accent5 30 3 3" xfId="7873"/>
    <cellStyle name="40 % - Accent5 30 4" xfId="7874"/>
    <cellStyle name="40 % - Accent5 30 5" xfId="7875"/>
    <cellStyle name="40 % - Accent5 31" xfId="7876"/>
    <cellStyle name="40 % - Accent5 31 2" xfId="7877"/>
    <cellStyle name="40 % - Accent5 31 2 2" xfId="7878"/>
    <cellStyle name="40 % - Accent5 31 2 3" xfId="7879"/>
    <cellStyle name="40 % - Accent5 31 3" xfId="7880"/>
    <cellStyle name="40 % - Accent5 31 3 2" xfId="7881"/>
    <cellStyle name="40 % - Accent5 31 3 3" xfId="7882"/>
    <cellStyle name="40 % - Accent5 31 4" xfId="7883"/>
    <cellStyle name="40 % - Accent5 31 5" xfId="7884"/>
    <cellStyle name="40 % - Accent5 32" xfId="7885"/>
    <cellStyle name="40 % - Accent5 32 2" xfId="7886"/>
    <cellStyle name="40 % - Accent5 32 2 2" xfId="7887"/>
    <cellStyle name="40 % - Accent5 32 2 3" xfId="7888"/>
    <cellStyle name="40 % - Accent5 32 3" xfId="7889"/>
    <cellStyle name="40 % - Accent5 32 3 2" xfId="7890"/>
    <cellStyle name="40 % - Accent5 32 3 3" xfId="7891"/>
    <cellStyle name="40 % - Accent5 32 4" xfId="7892"/>
    <cellStyle name="40 % - Accent5 32 5" xfId="7893"/>
    <cellStyle name="40 % - Accent5 33" xfId="7894"/>
    <cellStyle name="40 % - Accent5 33 2" xfId="7895"/>
    <cellStyle name="40 % - Accent5 33 2 2" xfId="7896"/>
    <cellStyle name="40 % - Accent5 33 2 3" xfId="7897"/>
    <cellStyle name="40 % - Accent5 33 3" xfId="7898"/>
    <cellStyle name="40 % - Accent5 33 3 2" xfId="7899"/>
    <cellStyle name="40 % - Accent5 33 3 3" xfId="7900"/>
    <cellStyle name="40 % - Accent5 33 4" xfId="7901"/>
    <cellStyle name="40 % - Accent5 33 5" xfId="7902"/>
    <cellStyle name="40 % - Accent5 34" xfId="7903"/>
    <cellStyle name="40 % - Accent5 34 2" xfId="7904"/>
    <cellStyle name="40 % - Accent5 34 2 2" xfId="7905"/>
    <cellStyle name="40 % - Accent5 34 2 3" xfId="7906"/>
    <cellStyle name="40 % - Accent5 34 3" xfId="7907"/>
    <cellStyle name="40 % - Accent5 34 3 2" xfId="7908"/>
    <cellStyle name="40 % - Accent5 34 3 3" xfId="7909"/>
    <cellStyle name="40 % - Accent5 34 4" xfId="7910"/>
    <cellStyle name="40 % - Accent5 34 5" xfId="7911"/>
    <cellStyle name="40 % - Accent5 35" xfId="7912"/>
    <cellStyle name="40 % - Accent5 35 2" xfId="7913"/>
    <cellStyle name="40 % - Accent5 35 2 2" xfId="7914"/>
    <cellStyle name="40 % - Accent5 35 2 3" xfId="7915"/>
    <cellStyle name="40 % - Accent5 35 3" xfId="7916"/>
    <cellStyle name="40 % - Accent5 35 3 2" xfId="7917"/>
    <cellStyle name="40 % - Accent5 35 3 3" xfId="7918"/>
    <cellStyle name="40 % - Accent5 35 4" xfId="7919"/>
    <cellStyle name="40 % - Accent5 35 5" xfId="7920"/>
    <cellStyle name="40 % - Accent5 36" xfId="7921"/>
    <cellStyle name="40 % - Accent5 36 2" xfId="7922"/>
    <cellStyle name="40 % - Accent5 36 2 2" xfId="7923"/>
    <cellStyle name="40 % - Accent5 36 2 3" xfId="7924"/>
    <cellStyle name="40 % - Accent5 36 3" xfId="7925"/>
    <cellStyle name="40 % - Accent5 36 3 2" xfId="7926"/>
    <cellStyle name="40 % - Accent5 36 3 3" xfId="7927"/>
    <cellStyle name="40 % - Accent5 36 4" xfId="7928"/>
    <cellStyle name="40 % - Accent5 36 5" xfId="7929"/>
    <cellStyle name="40 % - Accent5 37" xfId="7930"/>
    <cellStyle name="40 % - Accent5 37 2" xfId="7931"/>
    <cellStyle name="40 % - Accent5 37 2 2" xfId="7932"/>
    <cellStyle name="40 % - Accent5 37 2 3" xfId="7933"/>
    <cellStyle name="40 % - Accent5 37 3" xfId="7934"/>
    <cellStyle name="40 % - Accent5 37 3 2" xfId="7935"/>
    <cellStyle name="40 % - Accent5 37 3 3" xfId="7936"/>
    <cellStyle name="40 % - Accent5 37 4" xfId="7937"/>
    <cellStyle name="40 % - Accent5 37 5" xfId="7938"/>
    <cellStyle name="40 % - Accent5 38" xfId="7939"/>
    <cellStyle name="40 % - Accent5 38 2" xfId="7940"/>
    <cellStyle name="40 % - Accent5 38 2 2" xfId="7941"/>
    <cellStyle name="40 % - Accent5 38 2 3" xfId="7942"/>
    <cellStyle name="40 % - Accent5 38 3" xfId="7943"/>
    <cellStyle name="40 % - Accent5 38 3 2" xfId="7944"/>
    <cellStyle name="40 % - Accent5 38 3 3" xfId="7945"/>
    <cellStyle name="40 % - Accent5 38 4" xfId="7946"/>
    <cellStyle name="40 % - Accent5 38 5" xfId="7947"/>
    <cellStyle name="40 % - Accent5 39" xfId="7948"/>
    <cellStyle name="40 % - Accent5 39 2" xfId="7949"/>
    <cellStyle name="40 % - Accent5 39 2 2" xfId="7950"/>
    <cellStyle name="40 % - Accent5 39 2 3" xfId="7951"/>
    <cellStyle name="40 % - Accent5 39 3" xfId="7952"/>
    <cellStyle name="40 % - Accent5 39 3 2" xfId="7953"/>
    <cellStyle name="40 % - Accent5 39 3 3" xfId="7954"/>
    <cellStyle name="40 % - Accent5 39 4" xfId="7955"/>
    <cellStyle name="40 % - Accent5 39 5" xfId="7956"/>
    <cellStyle name="40 % - Accent5 4" xfId="797"/>
    <cellStyle name="40 % - Accent5 4 2" xfId="798"/>
    <cellStyle name="40 % - Accent5 4 2 2" xfId="799"/>
    <cellStyle name="40 % - Accent5 4 2 3" xfId="7957"/>
    <cellStyle name="40 % - Accent5 4 3" xfId="800"/>
    <cellStyle name="40 % - Accent5 4 3 2" xfId="7958"/>
    <cellStyle name="40 % - Accent5 4 3 3" xfId="7959"/>
    <cellStyle name="40 % - Accent5 4 4" xfId="7960"/>
    <cellStyle name="40 % - Accent5 4 5" xfId="7961"/>
    <cellStyle name="40 % - Accent5 40" xfId="7962"/>
    <cellStyle name="40 % - Accent5 40 2" xfId="7963"/>
    <cellStyle name="40 % - Accent5 40 2 2" xfId="7964"/>
    <cellStyle name="40 % - Accent5 40 2 3" xfId="7965"/>
    <cellStyle name="40 % - Accent5 40 3" xfId="7966"/>
    <cellStyle name="40 % - Accent5 40 3 2" xfId="7967"/>
    <cellStyle name="40 % - Accent5 40 3 3" xfId="7968"/>
    <cellStyle name="40 % - Accent5 40 4" xfId="7969"/>
    <cellStyle name="40 % - Accent5 40 5" xfId="7970"/>
    <cellStyle name="40 % - Accent5 41" xfId="7971"/>
    <cellStyle name="40 % - Accent5 41 2" xfId="7972"/>
    <cellStyle name="40 % - Accent5 41 2 2" xfId="7973"/>
    <cellStyle name="40 % - Accent5 41 2 3" xfId="7974"/>
    <cellStyle name="40 % - Accent5 41 3" xfId="7975"/>
    <cellStyle name="40 % - Accent5 41 3 2" xfId="7976"/>
    <cellStyle name="40 % - Accent5 41 3 3" xfId="7977"/>
    <cellStyle name="40 % - Accent5 41 4" xfId="7978"/>
    <cellStyle name="40 % - Accent5 41 5" xfId="7979"/>
    <cellStyle name="40 % - Accent5 42" xfId="7980"/>
    <cellStyle name="40 % - Accent5 42 2" xfId="7981"/>
    <cellStyle name="40 % - Accent5 42 2 2" xfId="7982"/>
    <cellStyle name="40 % - Accent5 42 2 3" xfId="7983"/>
    <cellStyle name="40 % - Accent5 42 3" xfId="7984"/>
    <cellStyle name="40 % - Accent5 42 3 2" xfId="7985"/>
    <cellStyle name="40 % - Accent5 42 3 3" xfId="7986"/>
    <cellStyle name="40 % - Accent5 42 4" xfId="7987"/>
    <cellStyle name="40 % - Accent5 42 5" xfId="7988"/>
    <cellStyle name="40 % - Accent5 43" xfId="7989"/>
    <cellStyle name="40 % - Accent5 43 2" xfId="7990"/>
    <cellStyle name="40 % - Accent5 43 2 2" xfId="7991"/>
    <cellStyle name="40 % - Accent5 43 2 3" xfId="7992"/>
    <cellStyle name="40 % - Accent5 43 3" xfId="7993"/>
    <cellStyle name="40 % - Accent5 43 3 2" xfId="7994"/>
    <cellStyle name="40 % - Accent5 43 3 3" xfId="7995"/>
    <cellStyle name="40 % - Accent5 43 4" xfId="7996"/>
    <cellStyle name="40 % - Accent5 43 5" xfId="7997"/>
    <cellStyle name="40 % - Accent5 44" xfId="7998"/>
    <cellStyle name="40 % - Accent5 44 2" xfId="7999"/>
    <cellStyle name="40 % - Accent5 44 2 2" xfId="8000"/>
    <cellStyle name="40 % - Accent5 44 2 3" xfId="8001"/>
    <cellStyle name="40 % - Accent5 44 3" xfId="8002"/>
    <cellStyle name="40 % - Accent5 44 3 2" xfId="8003"/>
    <cellStyle name="40 % - Accent5 44 3 3" xfId="8004"/>
    <cellStyle name="40 % - Accent5 44 4" xfId="8005"/>
    <cellStyle name="40 % - Accent5 44 5" xfId="8006"/>
    <cellStyle name="40 % - Accent5 45" xfId="8007"/>
    <cellStyle name="40 % - Accent5 45 2" xfId="8008"/>
    <cellStyle name="40 % - Accent5 45 2 2" xfId="8009"/>
    <cellStyle name="40 % - Accent5 45 2 3" xfId="8010"/>
    <cellStyle name="40 % - Accent5 45 3" xfId="8011"/>
    <cellStyle name="40 % - Accent5 45 3 2" xfId="8012"/>
    <cellStyle name="40 % - Accent5 45 3 3" xfId="8013"/>
    <cellStyle name="40 % - Accent5 45 4" xfId="8014"/>
    <cellStyle name="40 % - Accent5 45 5" xfId="8015"/>
    <cellStyle name="40 % - Accent5 46" xfId="8016"/>
    <cellStyle name="40 % - Accent5 46 2" xfId="8017"/>
    <cellStyle name="40 % - Accent5 46 2 2" xfId="8018"/>
    <cellStyle name="40 % - Accent5 46 2 3" xfId="8019"/>
    <cellStyle name="40 % - Accent5 46 3" xfId="8020"/>
    <cellStyle name="40 % - Accent5 46 3 2" xfId="8021"/>
    <cellStyle name="40 % - Accent5 46 3 3" xfId="8022"/>
    <cellStyle name="40 % - Accent5 46 4" xfId="8023"/>
    <cellStyle name="40 % - Accent5 46 5" xfId="8024"/>
    <cellStyle name="40 % - Accent5 47" xfId="8025"/>
    <cellStyle name="40 % - Accent5 47 2" xfId="8026"/>
    <cellStyle name="40 % - Accent5 47 2 2" xfId="8027"/>
    <cellStyle name="40 % - Accent5 47 2 3" xfId="8028"/>
    <cellStyle name="40 % - Accent5 47 3" xfId="8029"/>
    <cellStyle name="40 % - Accent5 47 3 2" xfId="8030"/>
    <cellStyle name="40 % - Accent5 47 3 3" xfId="8031"/>
    <cellStyle name="40 % - Accent5 47 4" xfId="8032"/>
    <cellStyle name="40 % - Accent5 47 5" xfId="8033"/>
    <cellStyle name="40 % - Accent5 48" xfId="8034"/>
    <cellStyle name="40 % - Accent5 48 2" xfId="8035"/>
    <cellStyle name="40 % - Accent5 48 2 2" xfId="8036"/>
    <cellStyle name="40 % - Accent5 48 2 3" xfId="8037"/>
    <cellStyle name="40 % - Accent5 48 3" xfId="8038"/>
    <cellStyle name="40 % - Accent5 48 3 2" xfId="8039"/>
    <cellStyle name="40 % - Accent5 48 3 3" xfId="8040"/>
    <cellStyle name="40 % - Accent5 48 4" xfId="8041"/>
    <cellStyle name="40 % - Accent5 48 5" xfId="8042"/>
    <cellStyle name="40 % - Accent5 49" xfId="8043"/>
    <cellStyle name="40 % - Accent5 49 2" xfId="8044"/>
    <cellStyle name="40 % - Accent5 49 2 2" xfId="8045"/>
    <cellStyle name="40 % - Accent5 49 2 3" xfId="8046"/>
    <cellStyle name="40 % - Accent5 49 3" xfId="8047"/>
    <cellStyle name="40 % - Accent5 49 3 2" xfId="8048"/>
    <cellStyle name="40 % - Accent5 49 3 3" xfId="8049"/>
    <cellStyle name="40 % - Accent5 49 4" xfId="8050"/>
    <cellStyle name="40 % - Accent5 49 5" xfId="8051"/>
    <cellStyle name="40 % - Accent5 5" xfId="801"/>
    <cellStyle name="40 % - Accent5 5 2" xfId="802"/>
    <cellStyle name="40 % - Accent5 5 2 2" xfId="803"/>
    <cellStyle name="40 % - Accent5 5 2 3" xfId="8052"/>
    <cellStyle name="40 % - Accent5 5 3" xfId="804"/>
    <cellStyle name="40 % - Accent5 5 3 2" xfId="8053"/>
    <cellStyle name="40 % - Accent5 5 3 3" xfId="8054"/>
    <cellStyle name="40 % - Accent5 5 4" xfId="8055"/>
    <cellStyle name="40 % - Accent5 5 5" xfId="8056"/>
    <cellStyle name="40 % - Accent5 50" xfId="8057"/>
    <cellStyle name="40 % - Accent5 50 2" xfId="8058"/>
    <cellStyle name="40 % - Accent5 50 2 2" xfId="8059"/>
    <cellStyle name="40 % - Accent5 50 2 3" xfId="8060"/>
    <cellStyle name="40 % - Accent5 50 3" xfId="8061"/>
    <cellStyle name="40 % - Accent5 50 3 2" xfId="8062"/>
    <cellStyle name="40 % - Accent5 50 3 3" xfId="8063"/>
    <cellStyle name="40 % - Accent5 50 4" xfId="8064"/>
    <cellStyle name="40 % - Accent5 50 5" xfId="8065"/>
    <cellStyle name="40 % - Accent5 51" xfId="8066"/>
    <cellStyle name="40 % - Accent5 51 2" xfId="8067"/>
    <cellStyle name="40 % - Accent5 51 2 2" xfId="8068"/>
    <cellStyle name="40 % - Accent5 51 2 3" xfId="8069"/>
    <cellStyle name="40 % - Accent5 51 3" xfId="8070"/>
    <cellStyle name="40 % - Accent5 51 3 2" xfId="8071"/>
    <cellStyle name="40 % - Accent5 51 3 3" xfId="8072"/>
    <cellStyle name="40 % - Accent5 51 4" xfId="8073"/>
    <cellStyle name="40 % - Accent5 51 5" xfId="8074"/>
    <cellStyle name="40 % - Accent5 52" xfId="8075"/>
    <cellStyle name="40 % - Accent5 52 2" xfId="8076"/>
    <cellStyle name="40 % - Accent5 52 2 2" xfId="8077"/>
    <cellStyle name="40 % - Accent5 52 2 3" xfId="8078"/>
    <cellStyle name="40 % - Accent5 52 3" xfId="8079"/>
    <cellStyle name="40 % - Accent5 52 3 2" xfId="8080"/>
    <cellStyle name="40 % - Accent5 52 3 3" xfId="8081"/>
    <cellStyle name="40 % - Accent5 52 4" xfId="8082"/>
    <cellStyle name="40 % - Accent5 52 5" xfId="8083"/>
    <cellStyle name="40 % - Accent5 53" xfId="8084"/>
    <cellStyle name="40 % - Accent5 53 2" xfId="8085"/>
    <cellStyle name="40 % - Accent5 53 2 2" xfId="8086"/>
    <cellStyle name="40 % - Accent5 53 2 3" xfId="8087"/>
    <cellStyle name="40 % - Accent5 53 3" xfId="8088"/>
    <cellStyle name="40 % - Accent5 53 3 2" xfId="8089"/>
    <cellStyle name="40 % - Accent5 53 3 3" xfId="8090"/>
    <cellStyle name="40 % - Accent5 53 4" xfId="8091"/>
    <cellStyle name="40 % - Accent5 53 5" xfId="8092"/>
    <cellStyle name="40 % - Accent5 54" xfId="8093"/>
    <cellStyle name="40 % - Accent5 54 2" xfId="8094"/>
    <cellStyle name="40 % - Accent5 54 2 2" xfId="8095"/>
    <cellStyle name="40 % - Accent5 54 2 3" xfId="8096"/>
    <cellStyle name="40 % - Accent5 54 3" xfId="8097"/>
    <cellStyle name="40 % - Accent5 54 3 2" xfId="8098"/>
    <cellStyle name="40 % - Accent5 54 3 3" xfId="8099"/>
    <cellStyle name="40 % - Accent5 54 4" xfId="8100"/>
    <cellStyle name="40 % - Accent5 54 5" xfId="8101"/>
    <cellStyle name="40 % - Accent5 55" xfId="8102"/>
    <cellStyle name="40 % - Accent5 55 2" xfId="8103"/>
    <cellStyle name="40 % - Accent5 55 2 2" xfId="8104"/>
    <cellStyle name="40 % - Accent5 55 2 3" xfId="8105"/>
    <cellStyle name="40 % - Accent5 55 3" xfId="8106"/>
    <cellStyle name="40 % - Accent5 55 3 2" xfId="8107"/>
    <cellStyle name="40 % - Accent5 55 3 3" xfId="8108"/>
    <cellStyle name="40 % - Accent5 55 4" xfId="8109"/>
    <cellStyle name="40 % - Accent5 55 5" xfId="8110"/>
    <cellStyle name="40 % - Accent5 56" xfId="8111"/>
    <cellStyle name="40 % - Accent5 56 2" xfId="8112"/>
    <cellStyle name="40 % - Accent5 56 2 2" xfId="8113"/>
    <cellStyle name="40 % - Accent5 56 2 3" xfId="8114"/>
    <cellStyle name="40 % - Accent5 56 3" xfId="8115"/>
    <cellStyle name="40 % - Accent5 56 3 2" xfId="8116"/>
    <cellStyle name="40 % - Accent5 56 3 3" xfId="8117"/>
    <cellStyle name="40 % - Accent5 56 4" xfId="8118"/>
    <cellStyle name="40 % - Accent5 56 5" xfId="8119"/>
    <cellStyle name="40 % - Accent5 57" xfId="8120"/>
    <cellStyle name="40 % - Accent5 57 2" xfId="8121"/>
    <cellStyle name="40 % - Accent5 57 2 2" xfId="8122"/>
    <cellStyle name="40 % - Accent5 57 2 3" xfId="8123"/>
    <cellStyle name="40 % - Accent5 57 3" xfId="8124"/>
    <cellStyle name="40 % - Accent5 57 3 2" xfId="8125"/>
    <cellStyle name="40 % - Accent5 57 3 3" xfId="8126"/>
    <cellStyle name="40 % - Accent5 57 4" xfId="8127"/>
    <cellStyle name="40 % - Accent5 57 5" xfId="8128"/>
    <cellStyle name="40 % - Accent5 58" xfId="8129"/>
    <cellStyle name="40 % - Accent5 58 2" xfId="8130"/>
    <cellStyle name="40 % - Accent5 58 2 2" xfId="8131"/>
    <cellStyle name="40 % - Accent5 58 2 3" xfId="8132"/>
    <cellStyle name="40 % - Accent5 58 3" xfId="8133"/>
    <cellStyle name="40 % - Accent5 58 3 2" xfId="8134"/>
    <cellStyle name="40 % - Accent5 58 3 3" xfId="8135"/>
    <cellStyle name="40 % - Accent5 58 4" xfId="8136"/>
    <cellStyle name="40 % - Accent5 58 5" xfId="8137"/>
    <cellStyle name="40 % - Accent5 59" xfId="8138"/>
    <cellStyle name="40 % - Accent5 59 2" xfId="8139"/>
    <cellStyle name="40 % - Accent5 59 2 2" xfId="8140"/>
    <cellStyle name="40 % - Accent5 59 2 3" xfId="8141"/>
    <cellStyle name="40 % - Accent5 59 3" xfId="8142"/>
    <cellStyle name="40 % - Accent5 59 3 2" xfId="8143"/>
    <cellStyle name="40 % - Accent5 59 3 3" xfId="8144"/>
    <cellStyle name="40 % - Accent5 59 4" xfId="8145"/>
    <cellStyle name="40 % - Accent5 59 5" xfId="8146"/>
    <cellStyle name="40 % - Accent5 6" xfId="805"/>
    <cellStyle name="40 % - Accent5 6 2" xfId="806"/>
    <cellStyle name="40 % - Accent5 6 2 2" xfId="807"/>
    <cellStyle name="40 % - Accent5 6 2 3" xfId="8147"/>
    <cellStyle name="40 % - Accent5 6 3" xfId="808"/>
    <cellStyle name="40 % - Accent5 6 3 2" xfId="8148"/>
    <cellStyle name="40 % - Accent5 6 3 3" xfId="8149"/>
    <cellStyle name="40 % - Accent5 6 4" xfId="8150"/>
    <cellStyle name="40 % - Accent5 6 5" xfId="8151"/>
    <cellStyle name="40 % - Accent5 60" xfId="8152"/>
    <cellStyle name="40 % - Accent5 60 2" xfId="8153"/>
    <cellStyle name="40 % - Accent5 60 2 2" xfId="8154"/>
    <cellStyle name="40 % - Accent5 60 2 3" xfId="8155"/>
    <cellStyle name="40 % - Accent5 60 3" xfId="8156"/>
    <cellStyle name="40 % - Accent5 60 3 2" xfId="8157"/>
    <cellStyle name="40 % - Accent5 60 3 3" xfId="8158"/>
    <cellStyle name="40 % - Accent5 60 4" xfId="8159"/>
    <cellStyle name="40 % - Accent5 60 5" xfId="8160"/>
    <cellStyle name="40 % - Accent5 61" xfId="8161"/>
    <cellStyle name="40 % - Accent5 61 2" xfId="8162"/>
    <cellStyle name="40 % - Accent5 61 2 2" xfId="8163"/>
    <cellStyle name="40 % - Accent5 61 2 3" xfId="8164"/>
    <cellStyle name="40 % - Accent5 61 3" xfId="8165"/>
    <cellStyle name="40 % - Accent5 61 3 2" xfId="8166"/>
    <cellStyle name="40 % - Accent5 61 3 3" xfId="8167"/>
    <cellStyle name="40 % - Accent5 61 4" xfId="8168"/>
    <cellStyle name="40 % - Accent5 61 5" xfId="8169"/>
    <cellStyle name="40 % - Accent5 62" xfId="8170"/>
    <cellStyle name="40 % - Accent5 62 2" xfId="8171"/>
    <cellStyle name="40 % - Accent5 62 2 2" xfId="8172"/>
    <cellStyle name="40 % - Accent5 62 2 3" xfId="8173"/>
    <cellStyle name="40 % - Accent5 62 3" xfId="8174"/>
    <cellStyle name="40 % - Accent5 62 3 2" xfId="8175"/>
    <cellStyle name="40 % - Accent5 62 3 3" xfId="8176"/>
    <cellStyle name="40 % - Accent5 62 4" xfId="8177"/>
    <cellStyle name="40 % - Accent5 62 5" xfId="8178"/>
    <cellStyle name="40 % - Accent5 63" xfId="8179"/>
    <cellStyle name="40 % - Accent5 63 2" xfId="8180"/>
    <cellStyle name="40 % - Accent5 63 2 2" xfId="8181"/>
    <cellStyle name="40 % - Accent5 63 2 3" xfId="8182"/>
    <cellStyle name="40 % - Accent5 63 3" xfId="8183"/>
    <cellStyle name="40 % - Accent5 63 3 2" xfId="8184"/>
    <cellStyle name="40 % - Accent5 63 3 3" xfId="8185"/>
    <cellStyle name="40 % - Accent5 63 4" xfId="8186"/>
    <cellStyle name="40 % - Accent5 63 5" xfId="8187"/>
    <cellStyle name="40 % - Accent5 64" xfId="8188"/>
    <cellStyle name="40 % - Accent5 64 2" xfId="8189"/>
    <cellStyle name="40 % - Accent5 64 2 2" xfId="8190"/>
    <cellStyle name="40 % - Accent5 64 2 3" xfId="8191"/>
    <cellStyle name="40 % - Accent5 64 3" xfId="8192"/>
    <cellStyle name="40 % - Accent5 64 3 2" xfId="8193"/>
    <cellStyle name="40 % - Accent5 64 3 3" xfId="8194"/>
    <cellStyle name="40 % - Accent5 64 4" xfId="8195"/>
    <cellStyle name="40 % - Accent5 64 5" xfId="8196"/>
    <cellStyle name="40 % - Accent5 65" xfId="8197"/>
    <cellStyle name="40 % - Accent5 65 2" xfId="8198"/>
    <cellStyle name="40 % - Accent5 65 2 2" xfId="8199"/>
    <cellStyle name="40 % - Accent5 65 2 3" xfId="8200"/>
    <cellStyle name="40 % - Accent5 65 3" xfId="8201"/>
    <cellStyle name="40 % - Accent5 65 3 2" xfId="8202"/>
    <cellStyle name="40 % - Accent5 65 3 3" xfId="8203"/>
    <cellStyle name="40 % - Accent5 65 4" xfId="8204"/>
    <cellStyle name="40 % - Accent5 65 5" xfId="8205"/>
    <cellStyle name="40 % - Accent5 66" xfId="8206"/>
    <cellStyle name="40 % - Accent5 66 2" xfId="8207"/>
    <cellStyle name="40 % - Accent5 66 2 2" xfId="8208"/>
    <cellStyle name="40 % - Accent5 66 2 3" xfId="8209"/>
    <cellStyle name="40 % - Accent5 66 3" xfId="8210"/>
    <cellStyle name="40 % - Accent5 66 3 2" xfId="8211"/>
    <cellStyle name="40 % - Accent5 66 3 3" xfId="8212"/>
    <cellStyle name="40 % - Accent5 66 4" xfId="8213"/>
    <cellStyle name="40 % - Accent5 66 5" xfId="8214"/>
    <cellStyle name="40 % - Accent5 67" xfId="8215"/>
    <cellStyle name="40 % - Accent5 67 2" xfId="8216"/>
    <cellStyle name="40 % - Accent5 67 2 2" xfId="8217"/>
    <cellStyle name="40 % - Accent5 67 2 3" xfId="8218"/>
    <cellStyle name="40 % - Accent5 67 3" xfId="8219"/>
    <cellStyle name="40 % - Accent5 67 3 2" xfId="8220"/>
    <cellStyle name="40 % - Accent5 67 3 3" xfId="8221"/>
    <cellStyle name="40 % - Accent5 67 4" xfId="8222"/>
    <cellStyle name="40 % - Accent5 67 5" xfId="8223"/>
    <cellStyle name="40 % - Accent5 68" xfId="8224"/>
    <cellStyle name="40 % - Accent5 68 2" xfId="8225"/>
    <cellStyle name="40 % - Accent5 68 2 2" xfId="8226"/>
    <cellStyle name="40 % - Accent5 68 2 3" xfId="8227"/>
    <cellStyle name="40 % - Accent5 68 3" xfId="8228"/>
    <cellStyle name="40 % - Accent5 68 3 2" xfId="8229"/>
    <cellStyle name="40 % - Accent5 68 3 3" xfId="8230"/>
    <cellStyle name="40 % - Accent5 68 4" xfId="8231"/>
    <cellStyle name="40 % - Accent5 68 5" xfId="8232"/>
    <cellStyle name="40 % - Accent5 69" xfId="8233"/>
    <cellStyle name="40 % - Accent5 69 2" xfId="8234"/>
    <cellStyle name="40 % - Accent5 69 2 2" xfId="8235"/>
    <cellStyle name="40 % - Accent5 69 2 3" xfId="8236"/>
    <cellStyle name="40 % - Accent5 69 3" xfId="8237"/>
    <cellStyle name="40 % - Accent5 69 3 2" xfId="8238"/>
    <cellStyle name="40 % - Accent5 69 3 3" xfId="8239"/>
    <cellStyle name="40 % - Accent5 69 4" xfId="8240"/>
    <cellStyle name="40 % - Accent5 69 5" xfId="8241"/>
    <cellStyle name="40 % - Accent5 7" xfId="809"/>
    <cellStyle name="40 % - Accent5 7 2" xfId="810"/>
    <cellStyle name="40 % - Accent5 7 2 2" xfId="811"/>
    <cellStyle name="40 % - Accent5 7 2 3" xfId="8242"/>
    <cellStyle name="40 % - Accent5 7 3" xfId="812"/>
    <cellStyle name="40 % - Accent5 7 3 2" xfId="8243"/>
    <cellStyle name="40 % - Accent5 7 3 3" xfId="8244"/>
    <cellStyle name="40 % - Accent5 7 4" xfId="8245"/>
    <cellStyle name="40 % - Accent5 7 5" xfId="8246"/>
    <cellStyle name="40 % - Accent5 70" xfId="8247"/>
    <cellStyle name="40 % - Accent5 70 2" xfId="8248"/>
    <cellStyle name="40 % - Accent5 70 2 2" xfId="8249"/>
    <cellStyle name="40 % - Accent5 70 2 3" xfId="8250"/>
    <cellStyle name="40 % - Accent5 70 3" xfId="8251"/>
    <cellStyle name="40 % - Accent5 70 3 2" xfId="8252"/>
    <cellStyle name="40 % - Accent5 70 3 3" xfId="8253"/>
    <cellStyle name="40 % - Accent5 70 4" xfId="8254"/>
    <cellStyle name="40 % - Accent5 70 5" xfId="8255"/>
    <cellStyle name="40 % - Accent5 71" xfId="8256"/>
    <cellStyle name="40 % - Accent5 71 2" xfId="8257"/>
    <cellStyle name="40 % - Accent5 71 2 2" xfId="8258"/>
    <cellStyle name="40 % - Accent5 71 2 3" xfId="8259"/>
    <cellStyle name="40 % - Accent5 71 3" xfId="8260"/>
    <cellStyle name="40 % - Accent5 71 3 2" xfId="8261"/>
    <cellStyle name="40 % - Accent5 71 3 3" xfId="8262"/>
    <cellStyle name="40 % - Accent5 71 4" xfId="8263"/>
    <cellStyle name="40 % - Accent5 71 5" xfId="8264"/>
    <cellStyle name="40 % - Accent5 72" xfId="8265"/>
    <cellStyle name="40 % - Accent5 72 2" xfId="8266"/>
    <cellStyle name="40 % - Accent5 72 2 2" xfId="8267"/>
    <cellStyle name="40 % - Accent5 72 2 3" xfId="8268"/>
    <cellStyle name="40 % - Accent5 72 3" xfId="8269"/>
    <cellStyle name="40 % - Accent5 72 3 2" xfId="8270"/>
    <cellStyle name="40 % - Accent5 72 3 3" xfId="8271"/>
    <cellStyle name="40 % - Accent5 72 4" xfId="8272"/>
    <cellStyle name="40 % - Accent5 72 5" xfId="8273"/>
    <cellStyle name="40 % - Accent5 73" xfId="8274"/>
    <cellStyle name="40 % - Accent5 73 2" xfId="8275"/>
    <cellStyle name="40 % - Accent5 73 2 2" xfId="8276"/>
    <cellStyle name="40 % - Accent5 73 2 3" xfId="8277"/>
    <cellStyle name="40 % - Accent5 73 3" xfId="8278"/>
    <cellStyle name="40 % - Accent5 73 3 2" xfId="8279"/>
    <cellStyle name="40 % - Accent5 73 3 3" xfId="8280"/>
    <cellStyle name="40 % - Accent5 73 4" xfId="8281"/>
    <cellStyle name="40 % - Accent5 73 5" xfId="8282"/>
    <cellStyle name="40 % - Accent5 74" xfId="8283"/>
    <cellStyle name="40 % - Accent5 74 2" xfId="8284"/>
    <cellStyle name="40 % - Accent5 74 3" xfId="8285"/>
    <cellStyle name="40 % - Accent5 75" xfId="8286"/>
    <cellStyle name="40 % - Accent5 75 2" xfId="8287"/>
    <cellStyle name="40 % - Accent5 75 3" xfId="8288"/>
    <cellStyle name="40 % - Accent5 76" xfId="8289"/>
    <cellStyle name="40 % - Accent5 76 2" xfId="8290"/>
    <cellStyle name="40 % - Accent5 76 3" xfId="8291"/>
    <cellStyle name="40 % - Accent5 77" xfId="8292"/>
    <cellStyle name="40 % - Accent5 77 2" xfId="8293"/>
    <cellStyle name="40 % - Accent5 77 3" xfId="8294"/>
    <cellStyle name="40 % - Accent5 78" xfId="8295"/>
    <cellStyle name="40 % - Accent5 79" xfId="8296"/>
    <cellStyle name="40 % - Accent5 8" xfId="813"/>
    <cellStyle name="40 % - Accent5 8 2" xfId="814"/>
    <cellStyle name="40 % - Accent5 8 2 2" xfId="815"/>
    <cellStyle name="40 % - Accent5 8 2 3" xfId="8297"/>
    <cellStyle name="40 % - Accent5 8 3" xfId="816"/>
    <cellStyle name="40 % - Accent5 8 3 2" xfId="8298"/>
    <cellStyle name="40 % - Accent5 8 3 3" xfId="8299"/>
    <cellStyle name="40 % - Accent5 8 4" xfId="8300"/>
    <cellStyle name="40 % - Accent5 8 5" xfId="8301"/>
    <cellStyle name="40 % - Accent5 80" xfId="8302"/>
    <cellStyle name="40 % - Accent5 81" xfId="8303"/>
    <cellStyle name="40 % - Accent5 82" xfId="8304"/>
    <cellStyle name="40 % - Accent5 83" xfId="8305"/>
    <cellStyle name="40 % - Accent5 84" xfId="8306"/>
    <cellStyle name="40 % - Accent5 85" xfId="8307"/>
    <cellStyle name="40 % - Accent5 86" xfId="8308"/>
    <cellStyle name="40 % - Accent5 87" xfId="8309"/>
    <cellStyle name="40 % - Accent5 88" xfId="8310"/>
    <cellStyle name="40 % - Accent5 89" xfId="8311"/>
    <cellStyle name="40 % - Accent5 9" xfId="817"/>
    <cellStyle name="40 % - Accent5 9 2" xfId="818"/>
    <cellStyle name="40 % - Accent5 9 2 2" xfId="819"/>
    <cellStyle name="40 % - Accent5 9 2 3" xfId="8312"/>
    <cellStyle name="40 % - Accent5 9 3" xfId="820"/>
    <cellStyle name="40 % - Accent5 9 3 2" xfId="8313"/>
    <cellStyle name="40 % - Accent5 9 3 3" xfId="8314"/>
    <cellStyle name="40 % - Accent5 9 4" xfId="8315"/>
    <cellStyle name="40 % - Accent5 9 5" xfId="8316"/>
    <cellStyle name="40 % - Accent5 90" xfId="8317"/>
    <cellStyle name="40 % - Accent5 91" xfId="8318"/>
    <cellStyle name="40 % - Accent5 92" xfId="8319"/>
    <cellStyle name="40 % - Accent5 93" xfId="8320"/>
    <cellStyle name="40 % - Accent5 94" xfId="8321"/>
    <cellStyle name="40 % - Accent5 95" xfId="8322"/>
    <cellStyle name="40 % - Accent5 96" xfId="8323"/>
    <cellStyle name="40 % - Accent5 97" xfId="8324"/>
    <cellStyle name="40 % - Accent5 98" xfId="8325"/>
    <cellStyle name="40 % - Accent5 99" xfId="8326"/>
    <cellStyle name="40 % - Accent6 10" xfId="821"/>
    <cellStyle name="40 % - Accent6 10 2" xfId="822"/>
    <cellStyle name="40 % - Accent6 10 2 2" xfId="823"/>
    <cellStyle name="40 % - Accent6 10 2 3" xfId="8327"/>
    <cellStyle name="40 % - Accent6 10 3" xfId="824"/>
    <cellStyle name="40 % - Accent6 10 3 2" xfId="8328"/>
    <cellStyle name="40 % - Accent6 10 3 3" xfId="8329"/>
    <cellStyle name="40 % - Accent6 10 4" xfId="8330"/>
    <cellStyle name="40 % - Accent6 10 5" xfId="8331"/>
    <cellStyle name="40 % - Accent6 100" xfId="8332"/>
    <cellStyle name="40 % - Accent6 101" xfId="8333"/>
    <cellStyle name="40 % - Accent6 102" xfId="8334"/>
    <cellStyle name="40 % - Accent6 103" xfId="8335"/>
    <cellStyle name="40 % - Accent6 104" xfId="8336"/>
    <cellStyle name="40 % - Accent6 105" xfId="8337"/>
    <cellStyle name="40 % - Accent6 106" xfId="8338"/>
    <cellStyle name="40 % - Accent6 107" xfId="8339"/>
    <cellStyle name="40 % - Accent6 108" xfId="8340"/>
    <cellStyle name="40 % - Accent6 109" xfId="8341"/>
    <cellStyle name="40 % - Accent6 11" xfId="825"/>
    <cellStyle name="40 % - Accent6 11 2" xfId="826"/>
    <cellStyle name="40 % - Accent6 11 2 2" xfId="827"/>
    <cellStyle name="40 % - Accent6 11 2 3" xfId="8342"/>
    <cellStyle name="40 % - Accent6 11 3" xfId="828"/>
    <cellStyle name="40 % - Accent6 11 3 2" xfId="8343"/>
    <cellStyle name="40 % - Accent6 11 3 3" xfId="8344"/>
    <cellStyle name="40 % - Accent6 11 4" xfId="8345"/>
    <cellStyle name="40 % - Accent6 11 5" xfId="8346"/>
    <cellStyle name="40 % - Accent6 110" xfId="8347"/>
    <cellStyle name="40 % - Accent6 111" xfId="8348"/>
    <cellStyle name="40 % - Accent6 112" xfId="8349"/>
    <cellStyle name="40 % - Accent6 113" xfId="8350"/>
    <cellStyle name="40 % - Accent6 114" xfId="8351"/>
    <cellStyle name="40 % - Accent6 115" xfId="8352"/>
    <cellStyle name="40 % - Accent6 116" xfId="8353"/>
    <cellStyle name="40 % - Accent6 117" xfId="8354"/>
    <cellStyle name="40 % - Accent6 118" xfId="8355"/>
    <cellStyle name="40 % - Accent6 119" xfId="8356"/>
    <cellStyle name="40 % - Accent6 12" xfId="829"/>
    <cellStyle name="40 % - Accent6 12 2" xfId="830"/>
    <cellStyle name="40 % - Accent6 12 2 2" xfId="831"/>
    <cellStyle name="40 % - Accent6 12 2 3" xfId="8357"/>
    <cellStyle name="40 % - Accent6 12 3" xfId="832"/>
    <cellStyle name="40 % - Accent6 12 3 2" xfId="8358"/>
    <cellStyle name="40 % - Accent6 12 3 3" xfId="8359"/>
    <cellStyle name="40 % - Accent6 12 4" xfId="8360"/>
    <cellStyle name="40 % - Accent6 12 5" xfId="8361"/>
    <cellStyle name="40 % - Accent6 120" xfId="8362"/>
    <cellStyle name="40 % - Accent6 121" xfId="8363"/>
    <cellStyle name="40 % - Accent6 122" xfId="8364"/>
    <cellStyle name="40 % - Accent6 123" xfId="8365"/>
    <cellStyle name="40 % - Accent6 124" xfId="8366"/>
    <cellStyle name="40 % - Accent6 125" xfId="8367"/>
    <cellStyle name="40 % - Accent6 126" xfId="8368"/>
    <cellStyle name="40 % - Accent6 127" xfId="8369"/>
    <cellStyle name="40 % - Accent6 128" xfId="8370"/>
    <cellStyle name="40 % - Accent6 129" xfId="8371"/>
    <cellStyle name="40 % - Accent6 13" xfId="833"/>
    <cellStyle name="40 % - Accent6 13 2" xfId="834"/>
    <cellStyle name="40 % - Accent6 13 2 2" xfId="835"/>
    <cellStyle name="40 % - Accent6 13 2 3" xfId="8372"/>
    <cellStyle name="40 % - Accent6 13 3" xfId="836"/>
    <cellStyle name="40 % - Accent6 13 3 2" xfId="8373"/>
    <cellStyle name="40 % - Accent6 13 3 3" xfId="8374"/>
    <cellStyle name="40 % - Accent6 13 4" xfId="8375"/>
    <cellStyle name="40 % - Accent6 13 5" xfId="8376"/>
    <cellStyle name="40 % - Accent6 130" xfId="8377"/>
    <cellStyle name="40 % - Accent6 131" xfId="8378"/>
    <cellStyle name="40 % - Accent6 132" xfId="8379"/>
    <cellStyle name="40 % - Accent6 133" xfId="8380"/>
    <cellStyle name="40 % - Accent6 134" xfId="8381"/>
    <cellStyle name="40 % - Accent6 135" xfId="8382"/>
    <cellStyle name="40 % - Accent6 136" xfId="8383"/>
    <cellStyle name="40 % - Accent6 137" xfId="8384"/>
    <cellStyle name="40 % - Accent6 138" xfId="8385"/>
    <cellStyle name="40 % - Accent6 139" xfId="8386"/>
    <cellStyle name="40 % - Accent6 14" xfId="837"/>
    <cellStyle name="40 % - Accent6 14 2" xfId="838"/>
    <cellStyle name="40 % - Accent6 14 2 2" xfId="839"/>
    <cellStyle name="40 % - Accent6 14 2 3" xfId="8387"/>
    <cellStyle name="40 % - Accent6 14 3" xfId="840"/>
    <cellStyle name="40 % - Accent6 14 3 2" xfId="8388"/>
    <cellStyle name="40 % - Accent6 14 3 3" xfId="8389"/>
    <cellStyle name="40 % - Accent6 14 4" xfId="8390"/>
    <cellStyle name="40 % - Accent6 14 5" xfId="8391"/>
    <cellStyle name="40 % - Accent6 140" xfId="8392"/>
    <cellStyle name="40 % - Accent6 15" xfId="841"/>
    <cellStyle name="40 % - Accent6 15 2" xfId="842"/>
    <cellStyle name="40 % - Accent6 15 2 2" xfId="843"/>
    <cellStyle name="40 % - Accent6 15 2 3" xfId="8393"/>
    <cellStyle name="40 % - Accent6 15 3" xfId="844"/>
    <cellStyle name="40 % - Accent6 15 3 2" xfId="8394"/>
    <cellStyle name="40 % - Accent6 15 3 3" xfId="8395"/>
    <cellStyle name="40 % - Accent6 15 4" xfId="8396"/>
    <cellStyle name="40 % - Accent6 15 5" xfId="8397"/>
    <cellStyle name="40 % - Accent6 16" xfId="845"/>
    <cellStyle name="40 % - Accent6 16 2" xfId="846"/>
    <cellStyle name="40 % - Accent6 16 2 2" xfId="847"/>
    <cellStyle name="40 % - Accent6 16 2 3" xfId="8398"/>
    <cellStyle name="40 % - Accent6 16 3" xfId="848"/>
    <cellStyle name="40 % - Accent6 16 3 2" xfId="8399"/>
    <cellStyle name="40 % - Accent6 16 3 3" xfId="8400"/>
    <cellStyle name="40 % - Accent6 16 4" xfId="8401"/>
    <cellStyle name="40 % - Accent6 16 5" xfId="8402"/>
    <cellStyle name="40 % - Accent6 17" xfId="849"/>
    <cellStyle name="40 % - Accent6 17 2" xfId="850"/>
    <cellStyle name="40 % - Accent6 17 2 2" xfId="851"/>
    <cellStyle name="40 % - Accent6 17 2 3" xfId="8403"/>
    <cellStyle name="40 % - Accent6 17 3" xfId="852"/>
    <cellStyle name="40 % - Accent6 17 3 2" xfId="8404"/>
    <cellStyle name="40 % - Accent6 17 3 3" xfId="8405"/>
    <cellStyle name="40 % - Accent6 17 4" xfId="8406"/>
    <cellStyle name="40 % - Accent6 17 5" xfId="8407"/>
    <cellStyle name="40 % - Accent6 18" xfId="853"/>
    <cellStyle name="40 % - Accent6 18 2" xfId="854"/>
    <cellStyle name="40 % - Accent6 18 2 2" xfId="855"/>
    <cellStyle name="40 % - Accent6 18 2 3" xfId="8408"/>
    <cellStyle name="40 % - Accent6 18 3" xfId="856"/>
    <cellStyle name="40 % - Accent6 18 3 2" xfId="8409"/>
    <cellStyle name="40 % - Accent6 18 3 3" xfId="8410"/>
    <cellStyle name="40 % - Accent6 18 4" xfId="8411"/>
    <cellStyle name="40 % - Accent6 18 5" xfId="8412"/>
    <cellStyle name="40 % - Accent6 19" xfId="8413"/>
    <cellStyle name="40 % - Accent6 19 2" xfId="8414"/>
    <cellStyle name="40 % - Accent6 19 2 2" xfId="8415"/>
    <cellStyle name="40 % - Accent6 19 2 3" xfId="8416"/>
    <cellStyle name="40 % - Accent6 19 3" xfId="8417"/>
    <cellStyle name="40 % - Accent6 19 3 2" xfId="8418"/>
    <cellStyle name="40 % - Accent6 19 3 3" xfId="8419"/>
    <cellStyle name="40 % - Accent6 19 4" xfId="8420"/>
    <cellStyle name="40 % - Accent6 19 5" xfId="8421"/>
    <cellStyle name="40 % - Accent6 2" xfId="857"/>
    <cellStyle name="40 % - Accent6 2 2" xfId="858"/>
    <cellStyle name="40 % - Accent6 2 2 2" xfId="859"/>
    <cellStyle name="40 % - Accent6 2 2 3" xfId="8422"/>
    <cellStyle name="40 % - Accent6 2 3" xfId="860"/>
    <cellStyle name="40 % - Accent6 2 3 2" xfId="8423"/>
    <cellStyle name="40 % - Accent6 2 3 3" xfId="8424"/>
    <cellStyle name="40 % - Accent6 2 4" xfId="8425"/>
    <cellStyle name="40 % - Accent6 2 5" xfId="8426"/>
    <cellStyle name="40 % - Accent6 20" xfId="8427"/>
    <cellStyle name="40 % - Accent6 20 2" xfId="8428"/>
    <cellStyle name="40 % - Accent6 20 2 2" xfId="8429"/>
    <cellStyle name="40 % - Accent6 20 2 3" xfId="8430"/>
    <cellStyle name="40 % - Accent6 20 3" xfId="8431"/>
    <cellStyle name="40 % - Accent6 20 3 2" xfId="8432"/>
    <cellStyle name="40 % - Accent6 20 3 3" xfId="8433"/>
    <cellStyle name="40 % - Accent6 20 4" xfId="8434"/>
    <cellStyle name="40 % - Accent6 20 5" xfId="8435"/>
    <cellStyle name="40 % - Accent6 21" xfId="8436"/>
    <cellStyle name="40 % - Accent6 21 2" xfId="8437"/>
    <cellStyle name="40 % - Accent6 21 2 2" xfId="8438"/>
    <cellStyle name="40 % - Accent6 21 2 3" xfId="8439"/>
    <cellStyle name="40 % - Accent6 21 3" xfId="8440"/>
    <cellStyle name="40 % - Accent6 21 3 2" xfId="8441"/>
    <cellStyle name="40 % - Accent6 21 3 3" xfId="8442"/>
    <cellStyle name="40 % - Accent6 21 4" xfId="8443"/>
    <cellStyle name="40 % - Accent6 21 5" xfId="8444"/>
    <cellStyle name="40 % - Accent6 22" xfId="8445"/>
    <cellStyle name="40 % - Accent6 22 2" xfId="8446"/>
    <cellStyle name="40 % - Accent6 22 2 2" xfId="8447"/>
    <cellStyle name="40 % - Accent6 22 2 3" xfId="8448"/>
    <cellStyle name="40 % - Accent6 22 3" xfId="8449"/>
    <cellStyle name="40 % - Accent6 22 3 2" xfId="8450"/>
    <cellStyle name="40 % - Accent6 22 3 3" xfId="8451"/>
    <cellStyle name="40 % - Accent6 22 4" xfId="8452"/>
    <cellStyle name="40 % - Accent6 22 5" xfId="8453"/>
    <cellStyle name="40 % - Accent6 23" xfId="8454"/>
    <cellStyle name="40 % - Accent6 23 2" xfId="8455"/>
    <cellStyle name="40 % - Accent6 23 2 2" xfId="8456"/>
    <cellStyle name="40 % - Accent6 23 2 3" xfId="8457"/>
    <cellStyle name="40 % - Accent6 23 3" xfId="8458"/>
    <cellStyle name="40 % - Accent6 23 3 2" xfId="8459"/>
    <cellStyle name="40 % - Accent6 23 3 3" xfId="8460"/>
    <cellStyle name="40 % - Accent6 23 4" xfId="8461"/>
    <cellStyle name="40 % - Accent6 23 5" xfId="8462"/>
    <cellStyle name="40 % - Accent6 24" xfId="8463"/>
    <cellStyle name="40 % - Accent6 24 2" xfId="8464"/>
    <cellStyle name="40 % - Accent6 24 2 2" xfId="8465"/>
    <cellStyle name="40 % - Accent6 24 2 3" xfId="8466"/>
    <cellStyle name="40 % - Accent6 24 3" xfId="8467"/>
    <cellStyle name="40 % - Accent6 24 3 2" xfId="8468"/>
    <cellStyle name="40 % - Accent6 24 3 3" xfId="8469"/>
    <cellStyle name="40 % - Accent6 24 4" xfId="8470"/>
    <cellStyle name="40 % - Accent6 24 5" xfId="8471"/>
    <cellStyle name="40 % - Accent6 25" xfId="8472"/>
    <cellStyle name="40 % - Accent6 25 2" xfId="8473"/>
    <cellStyle name="40 % - Accent6 25 2 2" xfId="8474"/>
    <cellStyle name="40 % - Accent6 25 2 3" xfId="8475"/>
    <cellStyle name="40 % - Accent6 25 3" xfId="8476"/>
    <cellStyle name="40 % - Accent6 25 3 2" xfId="8477"/>
    <cellStyle name="40 % - Accent6 25 3 3" xfId="8478"/>
    <cellStyle name="40 % - Accent6 25 4" xfId="8479"/>
    <cellStyle name="40 % - Accent6 25 5" xfId="8480"/>
    <cellStyle name="40 % - Accent6 26" xfId="8481"/>
    <cellStyle name="40 % - Accent6 26 2" xfId="8482"/>
    <cellStyle name="40 % - Accent6 26 2 2" xfId="8483"/>
    <cellStyle name="40 % - Accent6 26 2 3" xfId="8484"/>
    <cellStyle name="40 % - Accent6 26 3" xfId="8485"/>
    <cellStyle name="40 % - Accent6 26 3 2" xfId="8486"/>
    <cellStyle name="40 % - Accent6 26 3 3" xfId="8487"/>
    <cellStyle name="40 % - Accent6 26 4" xfId="8488"/>
    <cellStyle name="40 % - Accent6 26 5" xfId="8489"/>
    <cellStyle name="40 % - Accent6 27" xfId="8490"/>
    <cellStyle name="40 % - Accent6 27 2" xfId="8491"/>
    <cellStyle name="40 % - Accent6 27 2 2" xfId="8492"/>
    <cellStyle name="40 % - Accent6 27 2 3" xfId="8493"/>
    <cellStyle name="40 % - Accent6 27 3" xfId="8494"/>
    <cellStyle name="40 % - Accent6 27 3 2" xfId="8495"/>
    <cellStyle name="40 % - Accent6 27 3 3" xfId="8496"/>
    <cellStyle name="40 % - Accent6 27 4" xfId="8497"/>
    <cellStyle name="40 % - Accent6 27 5" xfId="8498"/>
    <cellStyle name="40 % - Accent6 28" xfId="8499"/>
    <cellStyle name="40 % - Accent6 28 2" xfId="8500"/>
    <cellStyle name="40 % - Accent6 28 2 2" xfId="8501"/>
    <cellStyle name="40 % - Accent6 28 2 3" xfId="8502"/>
    <cellStyle name="40 % - Accent6 28 3" xfId="8503"/>
    <cellStyle name="40 % - Accent6 28 3 2" xfId="8504"/>
    <cellStyle name="40 % - Accent6 28 3 3" xfId="8505"/>
    <cellStyle name="40 % - Accent6 28 4" xfId="8506"/>
    <cellStyle name="40 % - Accent6 28 5" xfId="8507"/>
    <cellStyle name="40 % - Accent6 29" xfId="8508"/>
    <cellStyle name="40 % - Accent6 29 2" xfId="8509"/>
    <cellStyle name="40 % - Accent6 29 2 2" xfId="8510"/>
    <cellStyle name="40 % - Accent6 29 2 3" xfId="8511"/>
    <cellStyle name="40 % - Accent6 29 3" xfId="8512"/>
    <cellStyle name="40 % - Accent6 29 3 2" xfId="8513"/>
    <cellStyle name="40 % - Accent6 29 3 3" xfId="8514"/>
    <cellStyle name="40 % - Accent6 29 4" xfId="8515"/>
    <cellStyle name="40 % - Accent6 29 5" xfId="8516"/>
    <cellStyle name="40 % - Accent6 3" xfId="861"/>
    <cellStyle name="40 % - Accent6 3 2" xfId="862"/>
    <cellStyle name="40 % - Accent6 3 2 2" xfId="863"/>
    <cellStyle name="40 % - Accent6 3 2 3" xfId="8517"/>
    <cellStyle name="40 % - Accent6 3 3" xfId="864"/>
    <cellStyle name="40 % - Accent6 3 3 2" xfId="8518"/>
    <cellStyle name="40 % - Accent6 3 3 3" xfId="8519"/>
    <cellStyle name="40 % - Accent6 3 4" xfId="8520"/>
    <cellStyle name="40 % - Accent6 3 5" xfId="8521"/>
    <cellStyle name="40 % - Accent6 30" xfId="8522"/>
    <cellStyle name="40 % - Accent6 30 2" xfId="8523"/>
    <cellStyle name="40 % - Accent6 30 2 2" xfId="8524"/>
    <cellStyle name="40 % - Accent6 30 2 3" xfId="8525"/>
    <cellStyle name="40 % - Accent6 30 3" xfId="8526"/>
    <cellStyle name="40 % - Accent6 30 3 2" xfId="8527"/>
    <cellStyle name="40 % - Accent6 30 3 3" xfId="8528"/>
    <cellStyle name="40 % - Accent6 30 4" xfId="8529"/>
    <cellStyle name="40 % - Accent6 30 5" xfId="8530"/>
    <cellStyle name="40 % - Accent6 31" xfId="8531"/>
    <cellStyle name="40 % - Accent6 31 2" xfId="8532"/>
    <cellStyle name="40 % - Accent6 31 2 2" xfId="8533"/>
    <cellStyle name="40 % - Accent6 31 2 3" xfId="8534"/>
    <cellStyle name="40 % - Accent6 31 3" xfId="8535"/>
    <cellStyle name="40 % - Accent6 31 3 2" xfId="8536"/>
    <cellStyle name="40 % - Accent6 31 3 3" xfId="8537"/>
    <cellStyle name="40 % - Accent6 31 4" xfId="8538"/>
    <cellStyle name="40 % - Accent6 31 5" xfId="8539"/>
    <cellStyle name="40 % - Accent6 32" xfId="8540"/>
    <cellStyle name="40 % - Accent6 32 2" xfId="8541"/>
    <cellStyle name="40 % - Accent6 32 2 2" xfId="8542"/>
    <cellStyle name="40 % - Accent6 32 2 3" xfId="8543"/>
    <cellStyle name="40 % - Accent6 32 3" xfId="8544"/>
    <cellStyle name="40 % - Accent6 32 3 2" xfId="8545"/>
    <cellStyle name="40 % - Accent6 32 3 3" xfId="8546"/>
    <cellStyle name="40 % - Accent6 32 4" xfId="8547"/>
    <cellStyle name="40 % - Accent6 32 5" xfId="8548"/>
    <cellStyle name="40 % - Accent6 33" xfId="8549"/>
    <cellStyle name="40 % - Accent6 33 2" xfId="8550"/>
    <cellStyle name="40 % - Accent6 33 2 2" xfId="8551"/>
    <cellStyle name="40 % - Accent6 33 2 3" xfId="8552"/>
    <cellStyle name="40 % - Accent6 33 3" xfId="8553"/>
    <cellStyle name="40 % - Accent6 33 3 2" xfId="8554"/>
    <cellStyle name="40 % - Accent6 33 3 3" xfId="8555"/>
    <cellStyle name="40 % - Accent6 33 4" xfId="8556"/>
    <cellStyle name="40 % - Accent6 33 5" xfId="8557"/>
    <cellStyle name="40 % - Accent6 34" xfId="8558"/>
    <cellStyle name="40 % - Accent6 34 2" xfId="8559"/>
    <cellStyle name="40 % - Accent6 34 2 2" xfId="8560"/>
    <cellStyle name="40 % - Accent6 34 2 3" xfId="8561"/>
    <cellStyle name="40 % - Accent6 34 3" xfId="8562"/>
    <cellStyle name="40 % - Accent6 34 3 2" xfId="8563"/>
    <cellStyle name="40 % - Accent6 34 3 3" xfId="8564"/>
    <cellStyle name="40 % - Accent6 34 4" xfId="8565"/>
    <cellStyle name="40 % - Accent6 34 5" xfId="8566"/>
    <cellStyle name="40 % - Accent6 35" xfId="8567"/>
    <cellStyle name="40 % - Accent6 35 2" xfId="8568"/>
    <cellStyle name="40 % - Accent6 35 2 2" xfId="8569"/>
    <cellStyle name="40 % - Accent6 35 2 3" xfId="8570"/>
    <cellStyle name="40 % - Accent6 35 3" xfId="8571"/>
    <cellStyle name="40 % - Accent6 35 3 2" xfId="8572"/>
    <cellStyle name="40 % - Accent6 35 3 3" xfId="8573"/>
    <cellStyle name="40 % - Accent6 35 4" xfId="8574"/>
    <cellStyle name="40 % - Accent6 35 5" xfId="8575"/>
    <cellStyle name="40 % - Accent6 36" xfId="8576"/>
    <cellStyle name="40 % - Accent6 36 2" xfId="8577"/>
    <cellStyle name="40 % - Accent6 36 2 2" xfId="8578"/>
    <cellStyle name="40 % - Accent6 36 2 3" xfId="8579"/>
    <cellStyle name="40 % - Accent6 36 3" xfId="8580"/>
    <cellStyle name="40 % - Accent6 36 3 2" xfId="8581"/>
    <cellStyle name="40 % - Accent6 36 3 3" xfId="8582"/>
    <cellStyle name="40 % - Accent6 36 4" xfId="8583"/>
    <cellStyle name="40 % - Accent6 36 5" xfId="8584"/>
    <cellStyle name="40 % - Accent6 37" xfId="8585"/>
    <cellStyle name="40 % - Accent6 37 2" xfId="8586"/>
    <cellStyle name="40 % - Accent6 37 2 2" xfId="8587"/>
    <cellStyle name="40 % - Accent6 37 2 3" xfId="8588"/>
    <cellStyle name="40 % - Accent6 37 3" xfId="8589"/>
    <cellStyle name="40 % - Accent6 37 3 2" xfId="8590"/>
    <cellStyle name="40 % - Accent6 37 3 3" xfId="8591"/>
    <cellStyle name="40 % - Accent6 37 4" xfId="8592"/>
    <cellStyle name="40 % - Accent6 37 5" xfId="8593"/>
    <cellStyle name="40 % - Accent6 38" xfId="8594"/>
    <cellStyle name="40 % - Accent6 38 2" xfId="8595"/>
    <cellStyle name="40 % - Accent6 38 2 2" xfId="8596"/>
    <cellStyle name="40 % - Accent6 38 2 3" xfId="8597"/>
    <cellStyle name="40 % - Accent6 38 3" xfId="8598"/>
    <cellStyle name="40 % - Accent6 38 3 2" xfId="8599"/>
    <cellStyle name="40 % - Accent6 38 3 3" xfId="8600"/>
    <cellStyle name="40 % - Accent6 38 4" xfId="8601"/>
    <cellStyle name="40 % - Accent6 38 5" xfId="8602"/>
    <cellStyle name="40 % - Accent6 39" xfId="8603"/>
    <cellStyle name="40 % - Accent6 39 2" xfId="8604"/>
    <cellStyle name="40 % - Accent6 39 2 2" xfId="8605"/>
    <cellStyle name="40 % - Accent6 39 2 3" xfId="8606"/>
    <cellStyle name="40 % - Accent6 39 3" xfId="8607"/>
    <cellStyle name="40 % - Accent6 39 3 2" xfId="8608"/>
    <cellStyle name="40 % - Accent6 39 3 3" xfId="8609"/>
    <cellStyle name="40 % - Accent6 39 4" xfId="8610"/>
    <cellStyle name="40 % - Accent6 39 5" xfId="8611"/>
    <cellStyle name="40 % - Accent6 4" xfId="865"/>
    <cellStyle name="40 % - Accent6 4 2" xfId="866"/>
    <cellStyle name="40 % - Accent6 4 2 2" xfId="867"/>
    <cellStyle name="40 % - Accent6 4 2 3" xfId="8612"/>
    <cellStyle name="40 % - Accent6 4 3" xfId="868"/>
    <cellStyle name="40 % - Accent6 4 3 2" xfId="8613"/>
    <cellStyle name="40 % - Accent6 4 3 3" xfId="8614"/>
    <cellStyle name="40 % - Accent6 4 4" xfId="8615"/>
    <cellStyle name="40 % - Accent6 4 5" xfId="8616"/>
    <cellStyle name="40 % - Accent6 40" xfId="8617"/>
    <cellStyle name="40 % - Accent6 40 2" xfId="8618"/>
    <cellStyle name="40 % - Accent6 40 2 2" xfId="8619"/>
    <cellStyle name="40 % - Accent6 40 2 3" xfId="8620"/>
    <cellStyle name="40 % - Accent6 40 3" xfId="8621"/>
    <cellStyle name="40 % - Accent6 40 3 2" xfId="8622"/>
    <cellStyle name="40 % - Accent6 40 3 3" xfId="8623"/>
    <cellStyle name="40 % - Accent6 40 4" xfId="8624"/>
    <cellStyle name="40 % - Accent6 40 5" xfId="8625"/>
    <cellStyle name="40 % - Accent6 41" xfId="8626"/>
    <cellStyle name="40 % - Accent6 41 2" xfId="8627"/>
    <cellStyle name="40 % - Accent6 41 2 2" xfId="8628"/>
    <cellStyle name="40 % - Accent6 41 2 3" xfId="8629"/>
    <cellStyle name="40 % - Accent6 41 3" xfId="8630"/>
    <cellStyle name="40 % - Accent6 41 3 2" xfId="8631"/>
    <cellStyle name="40 % - Accent6 41 3 3" xfId="8632"/>
    <cellStyle name="40 % - Accent6 41 4" xfId="8633"/>
    <cellStyle name="40 % - Accent6 41 5" xfId="8634"/>
    <cellStyle name="40 % - Accent6 42" xfId="8635"/>
    <cellStyle name="40 % - Accent6 42 2" xfId="8636"/>
    <cellStyle name="40 % - Accent6 42 2 2" xfId="8637"/>
    <cellStyle name="40 % - Accent6 42 2 3" xfId="8638"/>
    <cellStyle name="40 % - Accent6 42 3" xfId="8639"/>
    <cellStyle name="40 % - Accent6 42 3 2" xfId="8640"/>
    <cellStyle name="40 % - Accent6 42 3 3" xfId="8641"/>
    <cellStyle name="40 % - Accent6 42 4" xfId="8642"/>
    <cellStyle name="40 % - Accent6 42 5" xfId="8643"/>
    <cellStyle name="40 % - Accent6 43" xfId="8644"/>
    <cellStyle name="40 % - Accent6 43 2" xfId="8645"/>
    <cellStyle name="40 % - Accent6 43 2 2" xfId="8646"/>
    <cellStyle name="40 % - Accent6 43 2 3" xfId="8647"/>
    <cellStyle name="40 % - Accent6 43 3" xfId="8648"/>
    <cellStyle name="40 % - Accent6 43 3 2" xfId="8649"/>
    <cellStyle name="40 % - Accent6 43 3 3" xfId="8650"/>
    <cellStyle name="40 % - Accent6 43 4" xfId="8651"/>
    <cellStyle name="40 % - Accent6 43 5" xfId="8652"/>
    <cellStyle name="40 % - Accent6 44" xfId="8653"/>
    <cellStyle name="40 % - Accent6 44 2" xfId="8654"/>
    <cellStyle name="40 % - Accent6 44 2 2" xfId="8655"/>
    <cellStyle name="40 % - Accent6 44 2 3" xfId="8656"/>
    <cellStyle name="40 % - Accent6 44 3" xfId="8657"/>
    <cellStyle name="40 % - Accent6 44 3 2" xfId="8658"/>
    <cellStyle name="40 % - Accent6 44 3 3" xfId="8659"/>
    <cellStyle name="40 % - Accent6 44 4" xfId="8660"/>
    <cellStyle name="40 % - Accent6 44 5" xfId="8661"/>
    <cellStyle name="40 % - Accent6 45" xfId="8662"/>
    <cellStyle name="40 % - Accent6 45 2" xfId="8663"/>
    <cellStyle name="40 % - Accent6 45 2 2" xfId="8664"/>
    <cellStyle name="40 % - Accent6 45 2 3" xfId="8665"/>
    <cellStyle name="40 % - Accent6 45 3" xfId="8666"/>
    <cellStyle name="40 % - Accent6 45 3 2" xfId="8667"/>
    <cellStyle name="40 % - Accent6 45 3 3" xfId="8668"/>
    <cellStyle name="40 % - Accent6 45 4" xfId="8669"/>
    <cellStyle name="40 % - Accent6 45 5" xfId="8670"/>
    <cellStyle name="40 % - Accent6 46" xfId="8671"/>
    <cellStyle name="40 % - Accent6 46 2" xfId="8672"/>
    <cellStyle name="40 % - Accent6 46 2 2" xfId="8673"/>
    <cellStyle name="40 % - Accent6 46 2 3" xfId="8674"/>
    <cellStyle name="40 % - Accent6 46 3" xfId="8675"/>
    <cellStyle name="40 % - Accent6 46 3 2" xfId="8676"/>
    <cellStyle name="40 % - Accent6 46 3 3" xfId="8677"/>
    <cellStyle name="40 % - Accent6 46 4" xfId="8678"/>
    <cellStyle name="40 % - Accent6 46 5" xfId="8679"/>
    <cellStyle name="40 % - Accent6 47" xfId="8680"/>
    <cellStyle name="40 % - Accent6 47 2" xfId="8681"/>
    <cellStyle name="40 % - Accent6 47 2 2" xfId="8682"/>
    <cellStyle name="40 % - Accent6 47 2 3" xfId="8683"/>
    <cellStyle name="40 % - Accent6 47 3" xfId="8684"/>
    <cellStyle name="40 % - Accent6 47 3 2" xfId="8685"/>
    <cellStyle name="40 % - Accent6 47 3 3" xfId="8686"/>
    <cellStyle name="40 % - Accent6 47 4" xfId="8687"/>
    <cellStyle name="40 % - Accent6 47 5" xfId="8688"/>
    <cellStyle name="40 % - Accent6 48" xfId="8689"/>
    <cellStyle name="40 % - Accent6 48 2" xfId="8690"/>
    <cellStyle name="40 % - Accent6 48 2 2" xfId="8691"/>
    <cellStyle name="40 % - Accent6 48 2 3" xfId="8692"/>
    <cellStyle name="40 % - Accent6 48 3" xfId="8693"/>
    <cellStyle name="40 % - Accent6 48 3 2" xfId="8694"/>
    <cellStyle name="40 % - Accent6 48 3 3" xfId="8695"/>
    <cellStyle name="40 % - Accent6 48 4" xfId="8696"/>
    <cellStyle name="40 % - Accent6 48 5" xfId="8697"/>
    <cellStyle name="40 % - Accent6 49" xfId="8698"/>
    <cellStyle name="40 % - Accent6 49 2" xfId="8699"/>
    <cellStyle name="40 % - Accent6 49 2 2" xfId="8700"/>
    <cellStyle name="40 % - Accent6 49 2 3" xfId="8701"/>
    <cellStyle name="40 % - Accent6 49 3" xfId="8702"/>
    <cellStyle name="40 % - Accent6 49 3 2" xfId="8703"/>
    <cellStyle name="40 % - Accent6 49 3 3" xfId="8704"/>
    <cellStyle name="40 % - Accent6 49 4" xfId="8705"/>
    <cellStyle name="40 % - Accent6 49 5" xfId="8706"/>
    <cellStyle name="40 % - Accent6 5" xfId="869"/>
    <cellStyle name="40 % - Accent6 5 2" xfId="870"/>
    <cellStyle name="40 % - Accent6 5 2 2" xfId="871"/>
    <cellStyle name="40 % - Accent6 5 2 3" xfId="8707"/>
    <cellStyle name="40 % - Accent6 5 3" xfId="872"/>
    <cellStyle name="40 % - Accent6 5 3 2" xfId="8708"/>
    <cellStyle name="40 % - Accent6 5 3 3" xfId="8709"/>
    <cellStyle name="40 % - Accent6 5 4" xfId="8710"/>
    <cellStyle name="40 % - Accent6 5 5" xfId="8711"/>
    <cellStyle name="40 % - Accent6 50" xfId="8712"/>
    <cellStyle name="40 % - Accent6 50 2" xfId="8713"/>
    <cellStyle name="40 % - Accent6 50 2 2" xfId="8714"/>
    <cellStyle name="40 % - Accent6 50 2 3" xfId="8715"/>
    <cellStyle name="40 % - Accent6 50 3" xfId="8716"/>
    <cellStyle name="40 % - Accent6 50 3 2" xfId="8717"/>
    <cellStyle name="40 % - Accent6 50 3 3" xfId="8718"/>
    <cellStyle name="40 % - Accent6 50 4" xfId="8719"/>
    <cellStyle name="40 % - Accent6 50 5" xfId="8720"/>
    <cellStyle name="40 % - Accent6 51" xfId="8721"/>
    <cellStyle name="40 % - Accent6 51 2" xfId="8722"/>
    <cellStyle name="40 % - Accent6 51 2 2" xfId="8723"/>
    <cellStyle name="40 % - Accent6 51 2 3" xfId="8724"/>
    <cellStyle name="40 % - Accent6 51 3" xfId="8725"/>
    <cellStyle name="40 % - Accent6 51 3 2" xfId="8726"/>
    <cellStyle name="40 % - Accent6 51 3 3" xfId="8727"/>
    <cellStyle name="40 % - Accent6 51 4" xfId="8728"/>
    <cellStyle name="40 % - Accent6 51 5" xfId="8729"/>
    <cellStyle name="40 % - Accent6 52" xfId="8730"/>
    <cellStyle name="40 % - Accent6 52 2" xfId="8731"/>
    <cellStyle name="40 % - Accent6 52 2 2" xfId="8732"/>
    <cellStyle name="40 % - Accent6 52 2 3" xfId="8733"/>
    <cellStyle name="40 % - Accent6 52 3" xfId="8734"/>
    <cellStyle name="40 % - Accent6 52 3 2" xfId="8735"/>
    <cellStyle name="40 % - Accent6 52 3 3" xfId="8736"/>
    <cellStyle name="40 % - Accent6 52 4" xfId="8737"/>
    <cellStyle name="40 % - Accent6 52 5" xfId="8738"/>
    <cellStyle name="40 % - Accent6 53" xfId="8739"/>
    <cellStyle name="40 % - Accent6 53 2" xfId="8740"/>
    <cellStyle name="40 % - Accent6 53 2 2" xfId="8741"/>
    <cellStyle name="40 % - Accent6 53 2 3" xfId="8742"/>
    <cellStyle name="40 % - Accent6 53 3" xfId="8743"/>
    <cellStyle name="40 % - Accent6 53 3 2" xfId="8744"/>
    <cellStyle name="40 % - Accent6 53 3 3" xfId="8745"/>
    <cellStyle name="40 % - Accent6 53 4" xfId="8746"/>
    <cellStyle name="40 % - Accent6 53 5" xfId="8747"/>
    <cellStyle name="40 % - Accent6 54" xfId="8748"/>
    <cellStyle name="40 % - Accent6 54 2" xfId="8749"/>
    <cellStyle name="40 % - Accent6 54 2 2" xfId="8750"/>
    <cellStyle name="40 % - Accent6 54 2 3" xfId="8751"/>
    <cellStyle name="40 % - Accent6 54 3" xfId="8752"/>
    <cellStyle name="40 % - Accent6 54 3 2" xfId="8753"/>
    <cellStyle name="40 % - Accent6 54 3 3" xfId="8754"/>
    <cellStyle name="40 % - Accent6 54 4" xfId="8755"/>
    <cellStyle name="40 % - Accent6 54 5" xfId="8756"/>
    <cellStyle name="40 % - Accent6 55" xfId="8757"/>
    <cellStyle name="40 % - Accent6 55 2" xfId="8758"/>
    <cellStyle name="40 % - Accent6 55 2 2" xfId="8759"/>
    <cellStyle name="40 % - Accent6 55 2 3" xfId="8760"/>
    <cellStyle name="40 % - Accent6 55 3" xfId="8761"/>
    <cellStyle name="40 % - Accent6 55 3 2" xfId="8762"/>
    <cellStyle name="40 % - Accent6 55 3 3" xfId="8763"/>
    <cellStyle name="40 % - Accent6 55 4" xfId="8764"/>
    <cellStyle name="40 % - Accent6 55 5" xfId="8765"/>
    <cellStyle name="40 % - Accent6 56" xfId="8766"/>
    <cellStyle name="40 % - Accent6 56 2" xfId="8767"/>
    <cellStyle name="40 % - Accent6 56 2 2" xfId="8768"/>
    <cellStyle name="40 % - Accent6 56 2 3" xfId="8769"/>
    <cellStyle name="40 % - Accent6 56 3" xfId="8770"/>
    <cellStyle name="40 % - Accent6 56 3 2" xfId="8771"/>
    <cellStyle name="40 % - Accent6 56 3 3" xfId="8772"/>
    <cellStyle name="40 % - Accent6 56 4" xfId="8773"/>
    <cellStyle name="40 % - Accent6 56 5" xfId="8774"/>
    <cellStyle name="40 % - Accent6 57" xfId="8775"/>
    <cellStyle name="40 % - Accent6 57 2" xfId="8776"/>
    <cellStyle name="40 % - Accent6 57 2 2" xfId="8777"/>
    <cellStyle name="40 % - Accent6 57 2 3" xfId="8778"/>
    <cellStyle name="40 % - Accent6 57 3" xfId="8779"/>
    <cellStyle name="40 % - Accent6 57 3 2" xfId="8780"/>
    <cellStyle name="40 % - Accent6 57 3 3" xfId="8781"/>
    <cellStyle name="40 % - Accent6 57 4" xfId="8782"/>
    <cellStyle name="40 % - Accent6 57 5" xfId="8783"/>
    <cellStyle name="40 % - Accent6 58" xfId="8784"/>
    <cellStyle name="40 % - Accent6 58 2" xfId="8785"/>
    <cellStyle name="40 % - Accent6 58 2 2" xfId="8786"/>
    <cellStyle name="40 % - Accent6 58 2 3" xfId="8787"/>
    <cellStyle name="40 % - Accent6 58 3" xfId="8788"/>
    <cellStyle name="40 % - Accent6 58 3 2" xfId="8789"/>
    <cellStyle name="40 % - Accent6 58 3 3" xfId="8790"/>
    <cellStyle name="40 % - Accent6 58 4" xfId="8791"/>
    <cellStyle name="40 % - Accent6 58 5" xfId="8792"/>
    <cellStyle name="40 % - Accent6 59" xfId="8793"/>
    <cellStyle name="40 % - Accent6 59 2" xfId="8794"/>
    <cellStyle name="40 % - Accent6 59 2 2" xfId="8795"/>
    <cellStyle name="40 % - Accent6 59 2 3" xfId="8796"/>
    <cellStyle name="40 % - Accent6 59 3" xfId="8797"/>
    <cellStyle name="40 % - Accent6 59 3 2" xfId="8798"/>
    <cellStyle name="40 % - Accent6 59 3 3" xfId="8799"/>
    <cellStyle name="40 % - Accent6 59 4" xfId="8800"/>
    <cellStyle name="40 % - Accent6 59 5" xfId="8801"/>
    <cellStyle name="40 % - Accent6 6" xfId="873"/>
    <cellStyle name="40 % - Accent6 6 2" xfId="874"/>
    <cellStyle name="40 % - Accent6 6 2 2" xfId="875"/>
    <cellStyle name="40 % - Accent6 6 2 3" xfId="8802"/>
    <cellStyle name="40 % - Accent6 6 3" xfId="876"/>
    <cellStyle name="40 % - Accent6 6 3 2" xfId="8803"/>
    <cellStyle name="40 % - Accent6 6 3 3" xfId="8804"/>
    <cellStyle name="40 % - Accent6 6 4" xfId="8805"/>
    <cellStyle name="40 % - Accent6 6 5" xfId="8806"/>
    <cellStyle name="40 % - Accent6 60" xfId="8807"/>
    <cellStyle name="40 % - Accent6 60 2" xfId="8808"/>
    <cellStyle name="40 % - Accent6 60 2 2" xfId="8809"/>
    <cellStyle name="40 % - Accent6 60 2 3" xfId="8810"/>
    <cellStyle name="40 % - Accent6 60 3" xfId="8811"/>
    <cellStyle name="40 % - Accent6 60 3 2" xfId="8812"/>
    <cellStyle name="40 % - Accent6 60 3 3" xfId="8813"/>
    <cellStyle name="40 % - Accent6 60 4" xfId="8814"/>
    <cellStyle name="40 % - Accent6 60 5" xfId="8815"/>
    <cellStyle name="40 % - Accent6 61" xfId="8816"/>
    <cellStyle name="40 % - Accent6 61 2" xfId="8817"/>
    <cellStyle name="40 % - Accent6 61 2 2" xfId="8818"/>
    <cellStyle name="40 % - Accent6 61 2 3" xfId="8819"/>
    <cellStyle name="40 % - Accent6 61 3" xfId="8820"/>
    <cellStyle name="40 % - Accent6 61 3 2" xfId="8821"/>
    <cellStyle name="40 % - Accent6 61 3 3" xfId="8822"/>
    <cellStyle name="40 % - Accent6 61 4" xfId="8823"/>
    <cellStyle name="40 % - Accent6 61 5" xfId="8824"/>
    <cellStyle name="40 % - Accent6 62" xfId="8825"/>
    <cellStyle name="40 % - Accent6 62 2" xfId="8826"/>
    <cellStyle name="40 % - Accent6 62 2 2" xfId="8827"/>
    <cellStyle name="40 % - Accent6 62 2 3" xfId="8828"/>
    <cellStyle name="40 % - Accent6 62 3" xfId="8829"/>
    <cellStyle name="40 % - Accent6 62 3 2" xfId="8830"/>
    <cellStyle name="40 % - Accent6 62 3 3" xfId="8831"/>
    <cellStyle name="40 % - Accent6 62 4" xfId="8832"/>
    <cellStyle name="40 % - Accent6 62 5" xfId="8833"/>
    <cellStyle name="40 % - Accent6 63" xfId="8834"/>
    <cellStyle name="40 % - Accent6 63 2" xfId="8835"/>
    <cellStyle name="40 % - Accent6 63 2 2" xfId="8836"/>
    <cellStyle name="40 % - Accent6 63 2 3" xfId="8837"/>
    <cellStyle name="40 % - Accent6 63 3" xfId="8838"/>
    <cellStyle name="40 % - Accent6 63 3 2" xfId="8839"/>
    <cellStyle name="40 % - Accent6 63 3 3" xfId="8840"/>
    <cellStyle name="40 % - Accent6 63 4" xfId="8841"/>
    <cellStyle name="40 % - Accent6 63 5" xfId="8842"/>
    <cellStyle name="40 % - Accent6 64" xfId="8843"/>
    <cellStyle name="40 % - Accent6 64 2" xfId="8844"/>
    <cellStyle name="40 % - Accent6 64 2 2" xfId="8845"/>
    <cellStyle name="40 % - Accent6 64 2 3" xfId="8846"/>
    <cellStyle name="40 % - Accent6 64 3" xfId="8847"/>
    <cellStyle name="40 % - Accent6 64 3 2" xfId="8848"/>
    <cellStyle name="40 % - Accent6 64 3 3" xfId="8849"/>
    <cellStyle name="40 % - Accent6 64 4" xfId="8850"/>
    <cellStyle name="40 % - Accent6 64 5" xfId="8851"/>
    <cellStyle name="40 % - Accent6 65" xfId="8852"/>
    <cellStyle name="40 % - Accent6 65 2" xfId="8853"/>
    <cellStyle name="40 % - Accent6 65 2 2" xfId="8854"/>
    <cellStyle name="40 % - Accent6 65 2 3" xfId="8855"/>
    <cellStyle name="40 % - Accent6 65 3" xfId="8856"/>
    <cellStyle name="40 % - Accent6 65 3 2" xfId="8857"/>
    <cellStyle name="40 % - Accent6 65 3 3" xfId="8858"/>
    <cellStyle name="40 % - Accent6 65 4" xfId="8859"/>
    <cellStyle name="40 % - Accent6 65 5" xfId="8860"/>
    <cellStyle name="40 % - Accent6 66" xfId="8861"/>
    <cellStyle name="40 % - Accent6 66 2" xfId="8862"/>
    <cellStyle name="40 % - Accent6 66 2 2" xfId="8863"/>
    <cellStyle name="40 % - Accent6 66 2 3" xfId="8864"/>
    <cellStyle name="40 % - Accent6 66 3" xfId="8865"/>
    <cellStyle name="40 % - Accent6 66 3 2" xfId="8866"/>
    <cellStyle name="40 % - Accent6 66 3 3" xfId="8867"/>
    <cellStyle name="40 % - Accent6 66 4" xfId="8868"/>
    <cellStyle name="40 % - Accent6 66 5" xfId="8869"/>
    <cellStyle name="40 % - Accent6 67" xfId="8870"/>
    <cellStyle name="40 % - Accent6 67 2" xfId="8871"/>
    <cellStyle name="40 % - Accent6 67 2 2" xfId="8872"/>
    <cellStyle name="40 % - Accent6 67 2 3" xfId="8873"/>
    <cellStyle name="40 % - Accent6 67 3" xfId="8874"/>
    <cellStyle name="40 % - Accent6 67 3 2" xfId="8875"/>
    <cellStyle name="40 % - Accent6 67 3 3" xfId="8876"/>
    <cellStyle name="40 % - Accent6 67 4" xfId="8877"/>
    <cellStyle name="40 % - Accent6 67 5" xfId="8878"/>
    <cellStyle name="40 % - Accent6 68" xfId="8879"/>
    <cellStyle name="40 % - Accent6 68 2" xfId="8880"/>
    <cellStyle name="40 % - Accent6 68 2 2" xfId="8881"/>
    <cellStyle name="40 % - Accent6 68 2 3" xfId="8882"/>
    <cellStyle name="40 % - Accent6 68 3" xfId="8883"/>
    <cellStyle name="40 % - Accent6 68 3 2" xfId="8884"/>
    <cellStyle name="40 % - Accent6 68 3 3" xfId="8885"/>
    <cellStyle name="40 % - Accent6 68 4" xfId="8886"/>
    <cellStyle name="40 % - Accent6 68 5" xfId="8887"/>
    <cellStyle name="40 % - Accent6 69" xfId="8888"/>
    <cellStyle name="40 % - Accent6 69 2" xfId="8889"/>
    <cellStyle name="40 % - Accent6 69 2 2" xfId="8890"/>
    <cellStyle name="40 % - Accent6 69 2 3" xfId="8891"/>
    <cellStyle name="40 % - Accent6 69 3" xfId="8892"/>
    <cellStyle name="40 % - Accent6 69 3 2" xfId="8893"/>
    <cellStyle name="40 % - Accent6 69 3 3" xfId="8894"/>
    <cellStyle name="40 % - Accent6 69 4" xfId="8895"/>
    <cellStyle name="40 % - Accent6 69 5" xfId="8896"/>
    <cellStyle name="40 % - Accent6 7" xfId="877"/>
    <cellStyle name="40 % - Accent6 7 2" xfId="878"/>
    <cellStyle name="40 % - Accent6 7 2 2" xfId="879"/>
    <cellStyle name="40 % - Accent6 7 2 3" xfId="8897"/>
    <cellStyle name="40 % - Accent6 7 3" xfId="880"/>
    <cellStyle name="40 % - Accent6 7 3 2" xfId="8898"/>
    <cellStyle name="40 % - Accent6 7 3 3" xfId="8899"/>
    <cellStyle name="40 % - Accent6 7 4" xfId="8900"/>
    <cellStyle name="40 % - Accent6 7 5" xfId="8901"/>
    <cellStyle name="40 % - Accent6 70" xfId="8902"/>
    <cellStyle name="40 % - Accent6 70 2" xfId="8903"/>
    <cellStyle name="40 % - Accent6 70 2 2" xfId="8904"/>
    <cellStyle name="40 % - Accent6 70 2 3" xfId="8905"/>
    <cellStyle name="40 % - Accent6 70 3" xfId="8906"/>
    <cellStyle name="40 % - Accent6 70 3 2" xfId="8907"/>
    <cellStyle name="40 % - Accent6 70 3 3" xfId="8908"/>
    <cellStyle name="40 % - Accent6 70 4" xfId="8909"/>
    <cellStyle name="40 % - Accent6 70 5" xfId="8910"/>
    <cellStyle name="40 % - Accent6 71" xfId="8911"/>
    <cellStyle name="40 % - Accent6 71 2" xfId="8912"/>
    <cellStyle name="40 % - Accent6 71 2 2" xfId="8913"/>
    <cellStyle name="40 % - Accent6 71 2 3" xfId="8914"/>
    <cellStyle name="40 % - Accent6 71 3" xfId="8915"/>
    <cellStyle name="40 % - Accent6 71 3 2" xfId="8916"/>
    <cellStyle name="40 % - Accent6 71 3 3" xfId="8917"/>
    <cellStyle name="40 % - Accent6 71 4" xfId="8918"/>
    <cellStyle name="40 % - Accent6 71 5" xfId="8919"/>
    <cellStyle name="40 % - Accent6 72" xfId="8920"/>
    <cellStyle name="40 % - Accent6 72 2" xfId="8921"/>
    <cellStyle name="40 % - Accent6 72 2 2" xfId="8922"/>
    <cellStyle name="40 % - Accent6 72 2 3" xfId="8923"/>
    <cellStyle name="40 % - Accent6 72 3" xfId="8924"/>
    <cellStyle name="40 % - Accent6 72 3 2" xfId="8925"/>
    <cellStyle name="40 % - Accent6 72 3 3" xfId="8926"/>
    <cellStyle name="40 % - Accent6 72 4" xfId="8927"/>
    <cellStyle name="40 % - Accent6 72 5" xfId="8928"/>
    <cellStyle name="40 % - Accent6 73" xfId="8929"/>
    <cellStyle name="40 % - Accent6 73 2" xfId="8930"/>
    <cellStyle name="40 % - Accent6 73 2 2" xfId="8931"/>
    <cellStyle name="40 % - Accent6 73 2 3" xfId="8932"/>
    <cellStyle name="40 % - Accent6 73 3" xfId="8933"/>
    <cellStyle name="40 % - Accent6 73 3 2" xfId="8934"/>
    <cellStyle name="40 % - Accent6 73 3 3" xfId="8935"/>
    <cellStyle name="40 % - Accent6 73 4" xfId="8936"/>
    <cellStyle name="40 % - Accent6 73 5" xfId="8937"/>
    <cellStyle name="40 % - Accent6 74" xfId="8938"/>
    <cellStyle name="40 % - Accent6 74 2" xfId="8939"/>
    <cellStyle name="40 % - Accent6 74 3" xfId="8940"/>
    <cellStyle name="40 % - Accent6 75" xfId="8941"/>
    <cellStyle name="40 % - Accent6 75 2" xfId="8942"/>
    <cellStyle name="40 % - Accent6 75 3" xfId="8943"/>
    <cellStyle name="40 % - Accent6 76" xfId="8944"/>
    <cellStyle name="40 % - Accent6 76 2" xfId="8945"/>
    <cellStyle name="40 % - Accent6 76 3" xfId="8946"/>
    <cellStyle name="40 % - Accent6 77" xfId="8947"/>
    <cellStyle name="40 % - Accent6 77 2" xfId="8948"/>
    <cellStyle name="40 % - Accent6 77 3" xfId="8949"/>
    <cellStyle name="40 % - Accent6 78" xfId="8950"/>
    <cellStyle name="40 % - Accent6 79" xfId="8951"/>
    <cellStyle name="40 % - Accent6 8" xfId="881"/>
    <cellStyle name="40 % - Accent6 8 2" xfId="882"/>
    <cellStyle name="40 % - Accent6 8 2 2" xfId="883"/>
    <cellStyle name="40 % - Accent6 8 2 3" xfId="8952"/>
    <cellStyle name="40 % - Accent6 8 3" xfId="884"/>
    <cellStyle name="40 % - Accent6 8 3 2" xfId="8953"/>
    <cellStyle name="40 % - Accent6 8 3 3" xfId="8954"/>
    <cellStyle name="40 % - Accent6 8 4" xfId="8955"/>
    <cellStyle name="40 % - Accent6 8 5" xfId="8956"/>
    <cellStyle name="40 % - Accent6 80" xfId="8957"/>
    <cellStyle name="40 % - Accent6 81" xfId="8958"/>
    <cellStyle name="40 % - Accent6 82" xfId="8959"/>
    <cellStyle name="40 % - Accent6 83" xfId="8960"/>
    <cellStyle name="40 % - Accent6 84" xfId="8961"/>
    <cellStyle name="40 % - Accent6 85" xfId="8962"/>
    <cellStyle name="40 % - Accent6 86" xfId="8963"/>
    <cellStyle name="40 % - Accent6 87" xfId="8964"/>
    <cellStyle name="40 % - Accent6 88" xfId="8965"/>
    <cellStyle name="40 % - Accent6 89" xfId="8966"/>
    <cellStyle name="40 % - Accent6 9" xfId="885"/>
    <cellStyle name="40 % - Accent6 9 2" xfId="886"/>
    <cellStyle name="40 % - Accent6 9 2 2" xfId="887"/>
    <cellStyle name="40 % - Accent6 9 2 3" xfId="8967"/>
    <cellStyle name="40 % - Accent6 9 3" xfId="888"/>
    <cellStyle name="40 % - Accent6 9 3 2" xfId="8968"/>
    <cellStyle name="40 % - Accent6 9 3 3" xfId="8969"/>
    <cellStyle name="40 % - Accent6 9 4" xfId="8970"/>
    <cellStyle name="40 % - Accent6 9 5" xfId="8971"/>
    <cellStyle name="40 % - Accent6 90" xfId="8972"/>
    <cellStyle name="40 % - Accent6 91" xfId="8973"/>
    <cellStyle name="40 % - Accent6 92" xfId="8974"/>
    <cellStyle name="40 % - Accent6 93" xfId="8975"/>
    <cellStyle name="40 % - Accent6 94" xfId="8976"/>
    <cellStyle name="40 % - Accent6 95" xfId="8977"/>
    <cellStyle name="40 % - Accent6 96" xfId="8978"/>
    <cellStyle name="40 % - Accent6 97" xfId="8979"/>
    <cellStyle name="40 % - Accent6 98" xfId="8980"/>
    <cellStyle name="40 % - Accent6 99" xfId="8981"/>
    <cellStyle name="60 % - Accent1 2" xfId="889"/>
    <cellStyle name="60 % - Accent2 2" xfId="890"/>
    <cellStyle name="60 % - Accent3 2" xfId="891"/>
    <cellStyle name="60 % - Accent4 2" xfId="892"/>
    <cellStyle name="60 % - Accent5 2" xfId="893"/>
    <cellStyle name="60 % - Accent6 2" xfId="894"/>
    <cellStyle name="Accent1 2" xfId="895"/>
    <cellStyle name="Accent2 2" xfId="896"/>
    <cellStyle name="Accent3 2" xfId="897"/>
    <cellStyle name="Accent4 2" xfId="898"/>
    <cellStyle name="Accent5 2" xfId="899"/>
    <cellStyle name="Accent6 2" xfId="900"/>
    <cellStyle name="Avertissement 2" xfId="901"/>
    <cellStyle name="Calcul 2" xfId="902"/>
    <cellStyle name="Cellule liée 2" xfId="903"/>
    <cellStyle name="Comma" xfId="8982"/>
    <cellStyle name="Comma [0]" xfId="10489"/>
    <cellStyle name="Comma[0]" xfId="8983"/>
    <cellStyle name="Commentaire 10" xfId="904"/>
    <cellStyle name="Commentaire 10 2" xfId="905"/>
    <cellStyle name="Commentaire 10 2 2" xfId="906"/>
    <cellStyle name="Commentaire 10 2 3" xfId="8984"/>
    <cellStyle name="Commentaire 10 3" xfId="907"/>
    <cellStyle name="Commentaire 10 3 2" xfId="8985"/>
    <cellStyle name="Commentaire 10 3 3" xfId="8986"/>
    <cellStyle name="Commentaire 10 4" xfId="8987"/>
    <cellStyle name="Commentaire 10 5" xfId="8988"/>
    <cellStyle name="Commentaire 100" xfId="8989"/>
    <cellStyle name="Commentaire 101" xfId="8990"/>
    <cellStyle name="Commentaire 102" xfId="8991"/>
    <cellStyle name="Commentaire 103" xfId="8992"/>
    <cellStyle name="Commentaire 104" xfId="8993"/>
    <cellStyle name="Commentaire 105" xfId="8994"/>
    <cellStyle name="Commentaire 106" xfId="8995"/>
    <cellStyle name="Commentaire 107" xfId="8996"/>
    <cellStyle name="Commentaire 108" xfId="8997"/>
    <cellStyle name="Commentaire 109" xfId="8998"/>
    <cellStyle name="Commentaire 11" xfId="908"/>
    <cellStyle name="Commentaire 11 2" xfId="909"/>
    <cellStyle name="Commentaire 11 2 2" xfId="910"/>
    <cellStyle name="Commentaire 11 2 3" xfId="8999"/>
    <cellStyle name="Commentaire 11 3" xfId="911"/>
    <cellStyle name="Commentaire 11 3 2" xfId="9000"/>
    <cellStyle name="Commentaire 11 3 3" xfId="9001"/>
    <cellStyle name="Commentaire 11 4" xfId="9002"/>
    <cellStyle name="Commentaire 11 5" xfId="9003"/>
    <cellStyle name="Commentaire 110" xfId="9004"/>
    <cellStyle name="Commentaire 111" xfId="9005"/>
    <cellStyle name="Commentaire 112" xfId="9006"/>
    <cellStyle name="Commentaire 113" xfId="9007"/>
    <cellStyle name="Commentaire 114" xfId="9008"/>
    <cellStyle name="Commentaire 115" xfId="9009"/>
    <cellStyle name="Commentaire 116" xfId="9010"/>
    <cellStyle name="Commentaire 117" xfId="9011"/>
    <cellStyle name="Commentaire 118" xfId="9012"/>
    <cellStyle name="Commentaire 119" xfId="9013"/>
    <cellStyle name="Commentaire 12" xfId="912"/>
    <cellStyle name="Commentaire 12 2" xfId="913"/>
    <cellStyle name="Commentaire 12 2 2" xfId="914"/>
    <cellStyle name="Commentaire 12 2 3" xfId="9014"/>
    <cellStyle name="Commentaire 12 3" xfId="915"/>
    <cellStyle name="Commentaire 12 3 2" xfId="9015"/>
    <cellStyle name="Commentaire 12 3 3" xfId="9016"/>
    <cellStyle name="Commentaire 12 4" xfId="9017"/>
    <cellStyle name="Commentaire 12 5" xfId="9018"/>
    <cellStyle name="Commentaire 120" xfId="9019"/>
    <cellStyle name="Commentaire 121" xfId="9020"/>
    <cellStyle name="Commentaire 122" xfId="9021"/>
    <cellStyle name="Commentaire 123" xfId="9022"/>
    <cellStyle name="Commentaire 124" xfId="9023"/>
    <cellStyle name="Commentaire 125" xfId="9024"/>
    <cellStyle name="Commentaire 126" xfId="9025"/>
    <cellStyle name="Commentaire 127" xfId="9026"/>
    <cellStyle name="Commentaire 128" xfId="9027"/>
    <cellStyle name="Commentaire 129" xfId="9028"/>
    <cellStyle name="Commentaire 13" xfId="916"/>
    <cellStyle name="Commentaire 13 2" xfId="917"/>
    <cellStyle name="Commentaire 13 2 2" xfId="918"/>
    <cellStyle name="Commentaire 13 2 3" xfId="9029"/>
    <cellStyle name="Commentaire 13 3" xfId="919"/>
    <cellStyle name="Commentaire 13 3 2" xfId="9030"/>
    <cellStyle name="Commentaire 13 3 3" xfId="9031"/>
    <cellStyle name="Commentaire 13 4" xfId="9032"/>
    <cellStyle name="Commentaire 13 5" xfId="9033"/>
    <cellStyle name="Commentaire 130" xfId="9034"/>
    <cellStyle name="Commentaire 131" xfId="9035"/>
    <cellStyle name="Commentaire 132" xfId="9036"/>
    <cellStyle name="Commentaire 133" xfId="9037"/>
    <cellStyle name="Commentaire 134" xfId="9038"/>
    <cellStyle name="Commentaire 135" xfId="9039"/>
    <cellStyle name="Commentaire 136" xfId="9040"/>
    <cellStyle name="Commentaire 137" xfId="9041"/>
    <cellStyle name="Commentaire 138" xfId="9042"/>
    <cellStyle name="Commentaire 139" xfId="9043"/>
    <cellStyle name="Commentaire 14" xfId="920"/>
    <cellStyle name="Commentaire 14 2" xfId="921"/>
    <cellStyle name="Commentaire 14 2 2" xfId="922"/>
    <cellStyle name="Commentaire 14 2 3" xfId="9044"/>
    <cellStyle name="Commentaire 14 3" xfId="923"/>
    <cellStyle name="Commentaire 14 3 2" xfId="9045"/>
    <cellStyle name="Commentaire 14 3 3" xfId="9046"/>
    <cellStyle name="Commentaire 14 4" xfId="9047"/>
    <cellStyle name="Commentaire 14 5" xfId="9048"/>
    <cellStyle name="Commentaire 140" xfId="9049"/>
    <cellStyle name="Commentaire 141" xfId="9050"/>
    <cellStyle name="Commentaire 142" xfId="9051"/>
    <cellStyle name="Commentaire 143" xfId="9052"/>
    <cellStyle name="Commentaire 144" xfId="9053"/>
    <cellStyle name="Commentaire 145" xfId="9054"/>
    <cellStyle name="Commentaire 15" xfId="924"/>
    <cellStyle name="Commentaire 15 2" xfId="925"/>
    <cellStyle name="Commentaire 15 2 2" xfId="926"/>
    <cellStyle name="Commentaire 15 2 3" xfId="9055"/>
    <cellStyle name="Commentaire 15 3" xfId="927"/>
    <cellStyle name="Commentaire 15 3 2" xfId="9056"/>
    <cellStyle name="Commentaire 15 3 3" xfId="9057"/>
    <cellStyle name="Commentaire 15 4" xfId="9058"/>
    <cellStyle name="Commentaire 15 5" xfId="9059"/>
    <cellStyle name="Commentaire 16" xfId="928"/>
    <cellStyle name="Commentaire 16 2" xfId="929"/>
    <cellStyle name="Commentaire 16 2 2" xfId="930"/>
    <cellStyle name="Commentaire 16 2 3" xfId="9060"/>
    <cellStyle name="Commentaire 16 3" xfId="931"/>
    <cellStyle name="Commentaire 16 3 2" xfId="9061"/>
    <cellStyle name="Commentaire 16 3 3" xfId="9062"/>
    <cellStyle name="Commentaire 16 4" xfId="9063"/>
    <cellStyle name="Commentaire 16 5" xfId="9064"/>
    <cellStyle name="Commentaire 17" xfId="932"/>
    <cellStyle name="Commentaire 17 2" xfId="933"/>
    <cellStyle name="Commentaire 17 2 2" xfId="934"/>
    <cellStyle name="Commentaire 17 2 3" xfId="9065"/>
    <cellStyle name="Commentaire 17 3" xfId="935"/>
    <cellStyle name="Commentaire 17 3 2" xfId="9066"/>
    <cellStyle name="Commentaire 17 3 3" xfId="9067"/>
    <cellStyle name="Commentaire 17 4" xfId="9068"/>
    <cellStyle name="Commentaire 17 5" xfId="9069"/>
    <cellStyle name="Commentaire 18" xfId="936"/>
    <cellStyle name="Commentaire 18 2" xfId="937"/>
    <cellStyle name="Commentaire 18 2 2" xfId="938"/>
    <cellStyle name="Commentaire 18 2 3" xfId="9070"/>
    <cellStyle name="Commentaire 18 3" xfId="939"/>
    <cellStyle name="Commentaire 18 3 2" xfId="9071"/>
    <cellStyle name="Commentaire 18 3 3" xfId="9072"/>
    <cellStyle name="Commentaire 18 4" xfId="9073"/>
    <cellStyle name="Commentaire 18 5" xfId="9074"/>
    <cellStyle name="Commentaire 19" xfId="940"/>
    <cellStyle name="Commentaire 19 2" xfId="941"/>
    <cellStyle name="Commentaire 19 2 2" xfId="942"/>
    <cellStyle name="Commentaire 19 2 3" xfId="9075"/>
    <cellStyle name="Commentaire 19 3" xfId="943"/>
    <cellStyle name="Commentaire 19 3 2" xfId="9076"/>
    <cellStyle name="Commentaire 19 3 3" xfId="9077"/>
    <cellStyle name="Commentaire 19 4" xfId="9078"/>
    <cellStyle name="Commentaire 19 5" xfId="9079"/>
    <cellStyle name="Commentaire 2" xfId="944"/>
    <cellStyle name="Commentaire 2 2" xfId="945"/>
    <cellStyle name="Commentaire 2 2 2" xfId="946"/>
    <cellStyle name="Commentaire 2 2 3" xfId="9080"/>
    <cellStyle name="Commentaire 2 3" xfId="947"/>
    <cellStyle name="Commentaire 2 3 2" xfId="9081"/>
    <cellStyle name="Commentaire 2 3 3" xfId="9082"/>
    <cellStyle name="Commentaire 2 4" xfId="9083"/>
    <cellStyle name="Commentaire 2 5" xfId="9084"/>
    <cellStyle name="Commentaire 20" xfId="948"/>
    <cellStyle name="Commentaire 20 2" xfId="949"/>
    <cellStyle name="Commentaire 20 2 2" xfId="950"/>
    <cellStyle name="Commentaire 20 2 3" xfId="9085"/>
    <cellStyle name="Commentaire 20 3" xfId="951"/>
    <cellStyle name="Commentaire 20 3 2" xfId="9086"/>
    <cellStyle name="Commentaire 20 3 3" xfId="9087"/>
    <cellStyle name="Commentaire 20 4" xfId="9088"/>
    <cellStyle name="Commentaire 20 5" xfId="9089"/>
    <cellStyle name="Commentaire 21" xfId="952"/>
    <cellStyle name="Commentaire 21 2" xfId="953"/>
    <cellStyle name="Commentaire 21 2 2" xfId="954"/>
    <cellStyle name="Commentaire 21 2 3" xfId="9090"/>
    <cellStyle name="Commentaire 21 3" xfId="955"/>
    <cellStyle name="Commentaire 21 3 2" xfId="9091"/>
    <cellStyle name="Commentaire 21 3 3" xfId="9092"/>
    <cellStyle name="Commentaire 21 4" xfId="9093"/>
    <cellStyle name="Commentaire 21 5" xfId="9094"/>
    <cellStyle name="Commentaire 22" xfId="956"/>
    <cellStyle name="Commentaire 22 2" xfId="957"/>
    <cellStyle name="Commentaire 22 2 2" xfId="958"/>
    <cellStyle name="Commentaire 22 2 3" xfId="9095"/>
    <cellStyle name="Commentaire 22 3" xfId="959"/>
    <cellStyle name="Commentaire 22 3 2" xfId="9096"/>
    <cellStyle name="Commentaire 22 3 3" xfId="9097"/>
    <cellStyle name="Commentaire 22 4" xfId="9098"/>
    <cellStyle name="Commentaire 22 5" xfId="9099"/>
    <cellStyle name="Commentaire 23" xfId="9100"/>
    <cellStyle name="Commentaire 23 2" xfId="9101"/>
    <cellStyle name="Commentaire 23 2 2" xfId="9102"/>
    <cellStyle name="Commentaire 23 2 3" xfId="9103"/>
    <cellStyle name="Commentaire 23 3" xfId="9104"/>
    <cellStyle name="Commentaire 23 3 2" xfId="9105"/>
    <cellStyle name="Commentaire 23 3 3" xfId="9106"/>
    <cellStyle name="Commentaire 23 4" xfId="9107"/>
    <cellStyle name="Commentaire 23 5" xfId="9108"/>
    <cellStyle name="Commentaire 24" xfId="9109"/>
    <cellStyle name="Commentaire 24 2" xfId="9110"/>
    <cellStyle name="Commentaire 24 2 2" xfId="9111"/>
    <cellStyle name="Commentaire 24 2 3" xfId="9112"/>
    <cellStyle name="Commentaire 24 3" xfId="9113"/>
    <cellStyle name="Commentaire 24 3 2" xfId="9114"/>
    <cellStyle name="Commentaire 24 3 3" xfId="9115"/>
    <cellStyle name="Commentaire 24 4" xfId="9116"/>
    <cellStyle name="Commentaire 24 5" xfId="9117"/>
    <cellStyle name="Commentaire 25" xfId="9118"/>
    <cellStyle name="Commentaire 25 2" xfId="9119"/>
    <cellStyle name="Commentaire 25 2 2" xfId="9120"/>
    <cellStyle name="Commentaire 25 2 3" xfId="9121"/>
    <cellStyle name="Commentaire 25 3" xfId="9122"/>
    <cellStyle name="Commentaire 25 3 2" xfId="9123"/>
    <cellStyle name="Commentaire 25 3 3" xfId="9124"/>
    <cellStyle name="Commentaire 25 4" xfId="9125"/>
    <cellStyle name="Commentaire 25 5" xfId="9126"/>
    <cellStyle name="Commentaire 26" xfId="9127"/>
    <cellStyle name="Commentaire 26 2" xfId="9128"/>
    <cellStyle name="Commentaire 26 2 2" xfId="9129"/>
    <cellStyle name="Commentaire 26 2 3" xfId="9130"/>
    <cellStyle name="Commentaire 26 3" xfId="9131"/>
    <cellStyle name="Commentaire 26 3 2" xfId="9132"/>
    <cellStyle name="Commentaire 26 3 3" xfId="9133"/>
    <cellStyle name="Commentaire 26 4" xfId="9134"/>
    <cellStyle name="Commentaire 26 5" xfId="9135"/>
    <cellStyle name="Commentaire 27" xfId="9136"/>
    <cellStyle name="Commentaire 27 2" xfId="9137"/>
    <cellStyle name="Commentaire 27 2 2" xfId="9138"/>
    <cellStyle name="Commentaire 27 2 3" xfId="9139"/>
    <cellStyle name="Commentaire 27 3" xfId="9140"/>
    <cellStyle name="Commentaire 27 3 2" xfId="9141"/>
    <cellStyle name="Commentaire 27 3 3" xfId="9142"/>
    <cellStyle name="Commentaire 27 4" xfId="9143"/>
    <cellStyle name="Commentaire 27 5" xfId="9144"/>
    <cellStyle name="Commentaire 28" xfId="9145"/>
    <cellStyle name="Commentaire 28 2" xfId="9146"/>
    <cellStyle name="Commentaire 28 2 2" xfId="9147"/>
    <cellStyle name="Commentaire 28 2 3" xfId="9148"/>
    <cellStyle name="Commentaire 28 3" xfId="9149"/>
    <cellStyle name="Commentaire 28 3 2" xfId="9150"/>
    <cellStyle name="Commentaire 28 3 3" xfId="9151"/>
    <cellStyle name="Commentaire 28 4" xfId="9152"/>
    <cellStyle name="Commentaire 28 5" xfId="9153"/>
    <cellStyle name="Commentaire 29" xfId="9154"/>
    <cellStyle name="Commentaire 29 2" xfId="9155"/>
    <cellStyle name="Commentaire 29 2 2" xfId="9156"/>
    <cellStyle name="Commentaire 29 2 3" xfId="9157"/>
    <cellStyle name="Commentaire 29 3" xfId="9158"/>
    <cellStyle name="Commentaire 29 3 2" xfId="9159"/>
    <cellStyle name="Commentaire 29 3 3" xfId="9160"/>
    <cellStyle name="Commentaire 29 4" xfId="9161"/>
    <cellStyle name="Commentaire 29 5" xfId="9162"/>
    <cellStyle name="Commentaire 3" xfId="960"/>
    <cellStyle name="Commentaire 3 2" xfId="961"/>
    <cellStyle name="Commentaire 3 2 2" xfId="962"/>
    <cellStyle name="Commentaire 3 2 3" xfId="9163"/>
    <cellStyle name="Commentaire 3 3" xfId="963"/>
    <cellStyle name="Commentaire 3 3 2" xfId="9164"/>
    <cellStyle name="Commentaire 3 3 3" xfId="9165"/>
    <cellStyle name="Commentaire 3 4" xfId="9166"/>
    <cellStyle name="Commentaire 3 5" xfId="9167"/>
    <cellStyle name="Commentaire 30" xfId="9168"/>
    <cellStyle name="Commentaire 30 2" xfId="9169"/>
    <cellStyle name="Commentaire 30 2 2" xfId="9170"/>
    <cellStyle name="Commentaire 30 2 3" xfId="9171"/>
    <cellStyle name="Commentaire 30 3" xfId="9172"/>
    <cellStyle name="Commentaire 30 3 2" xfId="9173"/>
    <cellStyle name="Commentaire 30 3 3" xfId="9174"/>
    <cellStyle name="Commentaire 30 4" xfId="9175"/>
    <cellStyle name="Commentaire 30 5" xfId="9176"/>
    <cellStyle name="Commentaire 31" xfId="9177"/>
    <cellStyle name="Commentaire 31 2" xfId="9178"/>
    <cellStyle name="Commentaire 31 2 2" xfId="9179"/>
    <cellStyle name="Commentaire 31 2 3" xfId="9180"/>
    <cellStyle name="Commentaire 31 3" xfId="9181"/>
    <cellStyle name="Commentaire 31 3 2" xfId="9182"/>
    <cellStyle name="Commentaire 31 3 3" xfId="9183"/>
    <cellStyle name="Commentaire 31 4" xfId="9184"/>
    <cellStyle name="Commentaire 31 5" xfId="9185"/>
    <cellStyle name="Commentaire 32" xfId="9186"/>
    <cellStyle name="Commentaire 32 2" xfId="9187"/>
    <cellStyle name="Commentaire 32 2 2" xfId="9188"/>
    <cellStyle name="Commentaire 32 2 3" xfId="9189"/>
    <cellStyle name="Commentaire 32 3" xfId="9190"/>
    <cellStyle name="Commentaire 32 3 2" xfId="9191"/>
    <cellStyle name="Commentaire 32 3 3" xfId="9192"/>
    <cellStyle name="Commentaire 32 4" xfId="9193"/>
    <cellStyle name="Commentaire 32 5" xfId="9194"/>
    <cellStyle name="Commentaire 33" xfId="9195"/>
    <cellStyle name="Commentaire 33 2" xfId="9196"/>
    <cellStyle name="Commentaire 33 2 2" xfId="9197"/>
    <cellStyle name="Commentaire 33 2 3" xfId="9198"/>
    <cellStyle name="Commentaire 33 3" xfId="9199"/>
    <cellStyle name="Commentaire 33 3 2" xfId="9200"/>
    <cellStyle name="Commentaire 33 3 3" xfId="9201"/>
    <cellStyle name="Commentaire 33 4" xfId="9202"/>
    <cellStyle name="Commentaire 33 5" xfId="9203"/>
    <cellStyle name="Commentaire 34" xfId="9204"/>
    <cellStyle name="Commentaire 34 2" xfId="9205"/>
    <cellStyle name="Commentaire 34 2 2" xfId="9206"/>
    <cellStyle name="Commentaire 34 2 3" xfId="9207"/>
    <cellStyle name="Commentaire 34 3" xfId="9208"/>
    <cellStyle name="Commentaire 34 3 2" xfId="9209"/>
    <cellStyle name="Commentaire 34 3 3" xfId="9210"/>
    <cellStyle name="Commentaire 34 4" xfId="9211"/>
    <cellStyle name="Commentaire 34 5" xfId="9212"/>
    <cellStyle name="Commentaire 35" xfId="9213"/>
    <cellStyle name="Commentaire 35 2" xfId="9214"/>
    <cellStyle name="Commentaire 35 2 2" xfId="9215"/>
    <cellStyle name="Commentaire 35 2 3" xfId="9216"/>
    <cellStyle name="Commentaire 35 3" xfId="9217"/>
    <cellStyle name="Commentaire 35 3 2" xfId="9218"/>
    <cellStyle name="Commentaire 35 3 3" xfId="9219"/>
    <cellStyle name="Commentaire 35 4" xfId="9220"/>
    <cellStyle name="Commentaire 35 5" xfId="9221"/>
    <cellStyle name="Commentaire 36" xfId="9222"/>
    <cellStyle name="Commentaire 36 2" xfId="9223"/>
    <cellStyle name="Commentaire 36 2 2" xfId="9224"/>
    <cellStyle name="Commentaire 36 2 3" xfId="9225"/>
    <cellStyle name="Commentaire 36 3" xfId="9226"/>
    <cellStyle name="Commentaire 36 3 2" xfId="9227"/>
    <cellStyle name="Commentaire 36 3 3" xfId="9228"/>
    <cellStyle name="Commentaire 36 4" xfId="9229"/>
    <cellStyle name="Commentaire 36 5" xfId="9230"/>
    <cellStyle name="Commentaire 37" xfId="9231"/>
    <cellStyle name="Commentaire 37 2" xfId="9232"/>
    <cellStyle name="Commentaire 37 2 2" xfId="9233"/>
    <cellStyle name="Commentaire 37 2 3" xfId="9234"/>
    <cellStyle name="Commentaire 37 3" xfId="9235"/>
    <cellStyle name="Commentaire 37 3 2" xfId="9236"/>
    <cellStyle name="Commentaire 37 3 3" xfId="9237"/>
    <cellStyle name="Commentaire 37 4" xfId="9238"/>
    <cellStyle name="Commentaire 37 5" xfId="9239"/>
    <cellStyle name="Commentaire 38" xfId="9240"/>
    <cellStyle name="Commentaire 38 2" xfId="9241"/>
    <cellStyle name="Commentaire 38 2 2" xfId="9242"/>
    <cellStyle name="Commentaire 38 2 3" xfId="9243"/>
    <cellStyle name="Commentaire 38 3" xfId="9244"/>
    <cellStyle name="Commentaire 38 3 2" xfId="9245"/>
    <cellStyle name="Commentaire 38 3 3" xfId="9246"/>
    <cellStyle name="Commentaire 38 4" xfId="9247"/>
    <cellStyle name="Commentaire 38 5" xfId="9248"/>
    <cellStyle name="Commentaire 39" xfId="9249"/>
    <cellStyle name="Commentaire 39 2" xfId="9250"/>
    <cellStyle name="Commentaire 39 2 2" xfId="9251"/>
    <cellStyle name="Commentaire 39 2 3" xfId="9252"/>
    <cellStyle name="Commentaire 39 3" xfId="9253"/>
    <cellStyle name="Commentaire 39 3 2" xfId="9254"/>
    <cellStyle name="Commentaire 39 3 3" xfId="9255"/>
    <cellStyle name="Commentaire 39 4" xfId="9256"/>
    <cellStyle name="Commentaire 39 5" xfId="9257"/>
    <cellStyle name="Commentaire 4" xfId="964"/>
    <cellStyle name="Commentaire 4 2" xfId="965"/>
    <cellStyle name="Commentaire 4 2 2" xfId="966"/>
    <cellStyle name="Commentaire 4 2 3" xfId="9258"/>
    <cellStyle name="Commentaire 4 3" xfId="967"/>
    <cellStyle name="Commentaire 4 3 2" xfId="9259"/>
    <cellStyle name="Commentaire 4 3 3" xfId="9260"/>
    <cellStyle name="Commentaire 4 4" xfId="9261"/>
    <cellStyle name="Commentaire 4 5" xfId="9262"/>
    <cellStyle name="Commentaire 40" xfId="9263"/>
    <cellStyle name="Commentaire 40 2" xfId="9264"/>
    <cellStyle name="Commentaire 40 2 2" xfId="9265"/>
    <cellStyle name="Commentaire 40 2 3" xfId="9266"/>
    <cellStyle name="Commentaire 40 3" xfId="9267"/>
    <cellStyle name="Commentaire 40 3 2" xfId="9268"/>
    <cellStyle name="Commentaire 40 3 3" xfId="9269"/>
    <cellStyle name="Commentaire 40 4" xfId="9270"/>
    <cellStyle name="Commentaire 40 5" xfId="9271"/>
    <cellStyle name="Commentaire 41" xfId="9272"/>
    <cellStyle name="Commentaire 41 2" xfId="9273"/>
    <cellStyle name="Commentaire 41 2 2" xfId="9274"/>
    <cellStyle name="Commentaire 41 2 3" xfId="9275"/>
    <cellStyle name="Commentaire 41 3" xfId="9276"/>
    <cellStyle name="Commentaire 41 3 2" xfId="9277"/>
    <cellStyle name="Commentaire 41 3 3" xfId="9278"/>
    <cellStyle name="Commentaire 41 4" xfId="9279"/>
    <cellStyle name="Commentaire 41 5" xfId="9280"/>
    <cellStyle name="Commentaire 42" xfId="9281"/>
    <cellStyle name="Commentaire 42 2" xfId="9282"/>
    <cellStyle name="Commentaire 42 2 2" xfId="9283"/>
    <cellStyle name="Commentaire 42 2 3" xfId="9284"/>
    <cellStyle name="Commentaire 42 3" xfId="9285"/>
    <cellStyle name="Commentaire 42 3 2" xfId="9286"/>
    <cellStyle name="Commentaire 42 3 3" xfId="9287"/>
    <cellStyle name="Commentaire 42 4" xfId="9288"/>
    <cellStyle name="Commentaire 42 5" xfId="9289"/>
    <cellStyle name="Commentaire 43" xfId="9290"/>
    <cellStyle name="Commentaire 43 2" xfId="9291"/>
    <cellStyle name="Commentaire 43 2 2" xfId="9292"/>
    <cellStyle name="Commentaire 43 2 3" xfId="9293"/>
    <cellStyle name="Commentaire 43 3" xfId="9294"/>
    <cellStyle name="Commentaire 43 3 2" xfId="9295"/>
    <cellStyle name="Commentaire 43 3 3" xfId="9296"/>
    <cellStyle name="Commentaire 43 4" xfId="9297"/>
    <cellStyle name="Commentaire 43 5" xfId="9298"/>
    <cellStyle name="Commentaire 44" xfId="9299"/>
    <cellStyle name="Commentaire 44 2" xfId="9300"/>
    <cellStyle name="Commentaire 44 2 2" xfId="9301"/>
    <cellStyle name="Commentaire 44 2 3" xfId="9302"/>
    <cellStyle name="Commentaire 44 3" xfId="9303"/>
    <cellStyle name="Commentaire 44 3 2" xfId="9304"/>
    <cellStyle name="Commentaire 44 3 3" xfId="9305"/>
    <cellStyle name="Commentaire 44 4" xfId="9306"/>
    <cellStyle name="Commentaire 44 5" xfId="9307"/>
    <cellStyle name="Commentaire 45" xfId="9308"/>
    <cellStyle name="Commentaire 45 2" xfId="9309"/>
    <cellStyle name="Commentaire 45 2 2" xfId="9310"/>
    <cellStyle name="Commentaire 45 2 3" xfId="9311"/>
    <cellStyle name="Commentaire 45 3" xfId="9312"/>
    <cellStyle name="Commentaire 45 3 2" xfId="9313"/>
    <cellStyle name="Commentaire 45 3 3" xfId="9314"/>
    <cellStyle name="Commentaire 45 4" xfId="9315"/>
    <cellStyle name="Commentaire 45 5" xfId="9316"/>
    <cellStyle name="Commentaire 46" xfId="9317"/>
    <cellStyle name="Commentaire 46 2" xfId="9318"/>
    <cellStyle name="Commentaire 46 2 2" xfId="9319"/>
    <cellStyle name="Commentaire 46 2 3" xfId="9320"/>
    <cellStyle name="Commentaire 46 3" xfId="9321"/>
    <cellStyle name="Commentaire 46 3 2" xfId="9322"/>
    <cellStyle name="Commentaire 46 3 3" xfId="9323"/>
    <cellStyle name="Commentaire 46 4" xfId="9324"/>
    <cellStyle name="Commentaire 46 5" xfId="9325"/>
    <cellStyle name="Commentaire 47" xfId="9326"/>
    <cellStyle name="Commentaire 47 2" xfId="9327"/>
    <cellStyle name="Commentaire 47 2 2" xfId="9328"/>
    <cellStyle name="Commentaire 47 2 3" xfId="9329"/>
    <cellStyle name="Commentaire 47 3" xfId="9330"/>
    <cellStyle name="Commentaire 47 3 2" xfId="9331"/>
    <cellStyle name="Commentaire 47 3 3" xfId="9332"/>
    <cellStyle name="Commentaire 47 4" xfId="9333"/>
    <cellStyle name="Commentaire 47 5" xfId="9334"/>
    <cellStyle name="Commentaire 48" xfId="9335"/>
    <cellStyle name="Commentaire 48 2" xfId="9336"/>
    <cellStyle name="Commentaire 48 2 2" xfId="9337"/>
    <cellStyle name="Commentaire 48 2 3" xfId="9338"/>
    <cellStyle name="Commentaire 48 3" xfId="9339"/>
    <cellStyle name="Commentaire 48 3 2" xfId="9340"/>
    <cellStyle name="Commentaire 48 3 3" xfId="9341"/>
    <cellStyle name="Commentaire 48 4" xfId="9342"/>
    <cellStyle name="Commentaire 48 5" xfId="9343"/>
    <cellStyle name="Commentaire 49" xfId="9344"/>
    <cellStyle name="Commentaire 49 2" xfId="9345"/>
    <cellStyle name="Commentaire 49 2 2" xfId="9346"/>
    <cellStyle name="Commentaire 49 2 3" xfId="9347"/>
    <cellStyle name="Commentaire 49 3" xfId="9348"/>
    <cellStyle name="Commentaire 49 3 2" xfId="9349"/>
    <cellStyle name="Commentaire 49 3 3" xfId="9350"/>
    <cellStyle name="Commentaire 49 4" xfId="9351"/>
    <cellStyle name="Commentaire 49 5" xfId="9352"/>
    <cellStyle name="Commentaire 5" xfId="968"/>
    <cellStyle name="Commentaire 5 2" xfId="969"/>
    <cellStyle name="Commentaire 5 2 2" xfId="970"/>
    <cellStyle name="Commentaire 5 2 3" xfId="9353"/>
    <cellStyle name="Commentaire 5 3" xfId="971"/>
    <cellStyle name="Commentaire 5 3 2" xfId="9354"/>
    <cellStyle name="Commentaire 5 3 3" xfId="9355"/>
    <cellStyle name="Commentaire 5 4" xfId="9356"/>
    <cellStyle name="Commentaire 5 5" xfId="9357"/>
    <cellStyle name="Commentaire 50" xfId="9358"/>
    <cellStyle name="Commentaire 50 2" xfId="9359"/>
    <cellStyle name="Commentaire 50 2 2" xfId="9360"/>
    <cellStyle name="Commentaire 50 2 3" xfId="9361"/>
    <cellStyle name="Commentaire 50 3" xfId="9362"/>
    <cellStyle name="Commentaire 50 3 2" xfId="9363"/>
    <cellStyle name="Commentaire 50 3 3" xfId="9364"/>
    <cellStyle name="Commentaire 50 4" xfId="9365"/>
    <cellStyle name="Commentaire 50 5" xfId="9366"/>
    <cellStyle name="Commentaire 51" xfId="9367"/>
    <cellStyle name="Commentaire 51 2" xfId="9368"/>
    <cellStyle name="Commentaire 51 2 2" xfId="9369"/>
    <cellStyle name="Commentaire 51 2 3" xfId="9370"/>
    <cellStyle name="Commentaire 51 3" xfId="9371"/>
    <cellStyle name="Commentaire 51 3 2" xfId="9372"/>
    <cellStyle name="Commentaire 51 3 3" xfId="9373"/>
    <cellStyle name="Commentaire 51 4" xfId="9374"/>
    <cellStyle name="Commentaire 51 5" xfId="9375"/>
    <cellStyle name="Commentaire 52" xfId="9376"/>
    <cellStyle name="Commentaire 52 2" xfId="9377"/>
    <cellStyle name="Commentaire 52 2 2" xfId="9378"/>
    <cellStyle name="Commentaire 52 2 3" xfId="9379"/>
    <cellStyle name="Commentaire 52 3" xfId="9380"/>
    <cellStyle name="Commentaire 52 3 2" xfId="9381"/>
    <cellStyle name="Commentaire 52 3 3" xfId="9382"/>
    <cellStyle name="Commentaire 52 4" xfId="9383"/>
    <cellStyle name="Commentaire 52 5" xfId="9384"/>
    <cellStyle name="Commentaire 53" xfId="9385"/>
    <cellStyle name="Commentaire 53 2" xfId="9386"/>
    <cellStyle name="Commentaire 53 2 2" xfId="9387"/>
    <cellStyle name="Commentaire 53 2 3" xfId="9388"/>
    <cellStyle name="Commentaire 53 3" xfId="9389"/>
    <cellStyle name="Commentaire 53 3 2" xfId="9390"/>
    <cellStyle name="Commentaire 53 3 3" xfId="9391"/>
    <cellStyle name="Commentaire 53 4" xfId="9392"/>
    <cellStyle name="Commentaire 53 5" xfId="9393"/>
    <cellStyle name="Commentaire 54" xfId="9394"/>
    <cellStyle name="Commentaire 54 2" xfId="9395"/>
    <cellStyle name="Commentaire 54 2 2" xfId="9396"/>
    <cellStyle name="Commentaire 54 2 3" xfId="9397"/>
    <cellStyle name="Commentaire 54 3" xfId="9398"/>
    <cellStyle name="Commentaire 54 3 2" xfId="9399"/>
    <cellStyle name="Commentaire 54 3 3" xfId="9400"/>
    <cellStyle name="Commentaire 54 4" xfId="9401"/>
    <cellStyle name="Commentaire 54 5" xfId="9402"/>
    <cellStyle name="Commentaire 55" xfId="9403"/>
    <cellStyle name="Commentaire 55 2" xfId="9404"/>
    <cellStyle name="Commentaire 55 2 2" xfId="9405"/>
    <cellStyle name="Commentaire 55 2 3" xfId="9406"/>
    <cellStyle name="Commentaire 55 3" xfId="9407"/>
    <cellStyle name="Commentaire 55 3 2" xfId="9408"/>
    <cellStyle name="Commentaire 55 3 3" xfId="9409"/>
    <cellStyle name="Commentaire 55 4" xfId="9410"/>
    <cellStyle name="Commentaire 55 5" xfId="9411"/>
    <cellStyle name="Commentaire 56" xfId="9412"/>
    <cellStyle name="Commentaire 56 2" xfId="9413"/>
    <cellStyle name="Commentaire 56 2 2" xfId="9414"/>
    <cellStyle name="Commentaire 56 2 3" xfId="9415"/>
    <cellStyle name="Commentaire 56 3" xfId="9416"/>
    <cellStyle name="Commentaire 56 3 2" xfId="9417"/>
    <cellStyle name="Commentaire 56 3 3" xfId="9418"/>
    <cellStyle name="Commentaire 56 4" xfId="9419"/>
    <cellStyle name="Commentaire 56 5" xfId="9420"/>
    <cellStyle name="Commentaire 57" xfId="9421"/>
    <cellStyle name="Commentaire 57 2" xfId="9422"/>
    <cellStyle name="Commentaire 57 2 2" xfId="9423"/>
    <cellStyle name="Commentaire 57 2 3" xfId="9424"/>
    <cellStyle name="Commentaire 57 3" xfId="9425"/>
    <cellStyle name="Commentaire 57 3 2" xfId="9426"/>
    <cellStyle name="Commentaire 57 3 3" xfId="9427"/>
    <cellStyle name="Commentaire 57 4" xfId="9428"/>
    <cellStyle name="Commentaire 57 5" xfId="9429"/>
    <cellStyle name="Commentaire 58" xfId="9430"/>
    <cellStyle name="Commentaire 58 2" xfId="9431"/>
    <cellStyle name="Commentaire 58 2 2" xfId="9432"/>
    <cellStyle name="Commentaire 58 2 3" xfId="9433"/>
    <cellStyle name="Commentaire 58 3" xfId="9434"/>
    <cellStyle name="Commentaire 58 3 2" xfId="9435"/>
    <cellStyle name="Commentaire 58 3 3" xfId="9436"/>
    <cellStyle name="Commentaire 58 4" xfId="9437"/>
    <cellStyle name="Commentaire 58 5" xfId="9438"/>
    <cellStyle name="Commentaire 59" xfId="9439"/>
    <cellStyle name="Commentaire 59 2" xfId="9440"/>
    <cellStyle name="Commentaire 59 2 2" xfId="9441"/>
    <cellStyle name="Commentaire 59 2 3" xfId="9442"/>
    <cellStyle name="Commentaire 59 3" xfId="9443"/>
    <cellStyle name="Commentaire 59 3 2" xfId="9444"/>
    <cellStyle name="Commentaire 59 3 3" xfId="9445"/>
    <cellStyle name="Commentaire 59 4" xfId="9446"/>
    <cellStyle name="Commentaire 59 5" xfId="9447"/>
    <cellStyle name="Commentaire 6" xfId="972"/>
    <cellStyle name="Commentaire 6 2" xfId="973"/>
    <cellStyle name="Commentaire 6 2 2" xfId="974"/>
    <cellStyle name="Commentaire 6 2 3" xfId="9448"/>
    <cellStyle name="Commentaire 6 3" xfId="975"/>
    <cellStyle name="Commentaire 6 3 2" xfId="9449"/>
    <cellStyle name="Commentaire 6 3 3" xfId="9450"/>
    <cellStyle name="Commentaire 6 4" xfId="9451"/>
    <cellStyle name="Commentaire 6 5" xfId="9452"/>
    <cellStyle name="Commentaire 60" xfId="9453"/>
    <cellStyle name="Commentaire 60 2" xfId="9454"/>
    <cellStyle name="Commentaire 60 2 2" xfId="9455"/>
    <cellStyle name="Commentaire 60 2 3" xfId="9456"/>
    <cellStyle name="Commentaire 60 3" xfId="9457"/>
    <cellStyle name="Commentaire 60 3 2" xfId="9458"/>
    <cellStyle name="Commentaire 60 3 3" xfId="9459"/>
    <cellStyle name="Commentaire 60 4" xfId="9460"/>
    <cellStyle name="Commentaire 60 5" xfId="9461"/>
    <cellStyle name="Commentaire 61" xfId="9462"/>
    <cellStyle name="Commentaire 61 2" xfId="9463"/>
    <cellStyle name="Commentaire 61 2 2" xfId="9464"/>
    <cellStyle name="Commentaire 61 2 3" xfId="9465"/>
    <cellStyle name="Commentaire 61 3" xfId="9466"/>
    <cellStyle name="Commentaire 61 3 2" xfId="9467"/>
    <cellStyle name="Commentaire 61 3 3" xfId="9468"/>
    <cellStyle name="Commentaire 61 4" xfId="9469"/>
    <cellStyle name="Commentaire 61 5" xfId="9470"/>
    <cellStyle name="Commentaire 62" xfId="9471"/>
    <cellStyle name="Commentaire 62 2" xfId="9472"/>
    <cellStyle name="Commentaire 62 2 2" xfId="9473"/>
    <cellStyle name="Commentaire 62 2 3" xfId="9474"/>
    <cellStyle name="Commentaire 62 3" xfId="9475"/>
    <cellStyle name="Commentaire 62 3 2" xfId="9476"/>
    <cellStyle name="Commentaire 62 3 3" xfId="9477"/>
    <cellStyle name="Commentaire 62 4" xfId="9478"/>
    <cellStyle name="Commentaire 62 5" xfId="9479"/>
    <cellStyle name="Commentaire 63" xfId="9480"/>
    <cellStyle name="Commentaire 63 2" xfId="9481"/>
    <cellStyle name="Commentaire 63 2 2" xfId="9482"/>
    <cellStyle name="Commentaire 63 2 3" xfId="9483"/>
    <cellStyle name="Commentaire 63 3" xfId="9484"/>
    <cellStyle name="Commentaire 63 3 2" xfId="9485"/>
    <cellStyle name="Commentaire 63 3 3" xfId="9486"/>
    <cellStyle name="Commentaire 63 4" xfId="9487"/>
    <cellStyle name="Commentaire 63 5" xfId="9488"/>
    <cellStyle name="Commentaire 64" xfId="9489"/>
    <cellStyle name="Commentaire 64 2" xfId="9490"/>
    <cellStyle name="Commentaire 64 2 2" xfId="9491"/>
    <cellStyle name="Commentaire 64 2 3" xfId="9492"/>
    <cellStyle name="Commentaire 64 3" xfId="9493"/>
    <cellStyle name="Commentaire 64 3 2" xfId="9494"/>
    <cellStyle name="Commentaire 64 3 3" xfId="9495"/>
    <cellStyle name="Commentaire 64 4" xfId="9496"/>
    <cellStyle name="Commentaire 64 5" xfId="9497"/>
    <cellStyle name="Commentaire 65" xfId="9498"/>
    <cellStyle name="Commentaire 65 2" xfId="9499"/>
    <cellStyle name="Commentaire 65 2 2" xfId="9500"/>
    <cellStyle name="Commentaire 65 2 3" xfId="9501"/>
    <cellStyle name="Commentaire 65 3" xfId="9502"/>
    <cellStyle name="Commentaire 65 3 2" xfId="9503"/>
    <cellStyle name="Commentaire 65 3 3" xfId="9504"/>
    <cellStyle name="Commentaire 65 4" xfId="9505"/>
    <cellStyle name="Commentaire 65 5" xfId="9506"/>
    <cellStyle name="Commentaire 66" xfId="9507"/>
    <cellStyle name="Commentaire 66 2" xfId="9508"/>
    <cellStyle name="Commentaire 66 2 2" xfId="9509"/>
    <cellStyle name="Commentaire 66 2 3" xfId="9510"/>
    <cellStyle name="Commentaire 66 3" xfId="9511"/>
    <cellStyle name="Commentaire 66 3 2" xfId="9512"/>
    <cellStyle name="Commentaire 66 3 3" xfId="9513"/>
    <cellStyle name="Commentaire 66 4" xfId="9514"/>
    <cellStyle name="Commentaire 66 5" xfId="9515"/>
    <cellStyle name="Commentaire 67" xfId="9516"/>
    <cellStyle name="Commentaire 67 2" xfId="9517"/>
    <cellStyle name="Commentaire 67 2 2" xfId="9518"/>
    <cellStyle name="Commentaire 67 2 3" xfId="9519"/>
    <cellStyle name="Commentaire 67 3" xfId="9520"/>
    <cellStyle name="Commentaire 67 3 2" xfId="9521"/>
    <cellStyle name="Commentaire 67 3 3" xfId="9522"/>
    <cellStyle name="Commentaire 67 4" xfId="9523"/>
    <cellStyle name="Commentaire 67 5" xfId="9524"/>
    <cellStyle name="Commentaire 68" xfId="9525"/>
    <cellStyle name="Commentaire 68 2" xfId="9526"/>
    <cellStyle name="Commentaire 68 2 2" xfId="9527"/>
    <cellStyle name="Commentaire 68 2 3" xfId="9528"/>
    <cellStyle name="Commentaire 68 3" xfId="9529"/>
    <cellStyle name="Commentaire 68 3 2" xfId="9530"/>
    <cellStyle name="Commentaire 68 3 3" xfId="9531"/>
    <cellStyle name="Commentaire 68 4" xfId="9532"/>
    <cellStyle name="Commentaire 68 5" xfId="9533"/>
    <cellStyle name="Commentaire 69" xfId="9534"/>
    <cellStyle name="Commentaire 69 2" xfId="9535"/>
    <cellStyle name="Commentaire 69 2 2" xfId="9536"/>
    <cellStyle name="Commentaire 69 2 3" xfId="9537"/>
    <cellStyle name="Commentaire 69 3" xfId="9538"/>
    <cellStyle name="Commentaire 69 3 2" xfId="9539"/>
    <cellStyle name="Commentaire 69 3 3" xfId="9540"/>
    <cellStyle name="Commentaire 69 4" xfId="9541"/>
    <cellStyle name="Commentaire 69 5" xfId="9542"/>
    <cellStyle name="Commentaire 7" xfId="976"/>
    <cellStyle name="Commentaire 7 2" xfId="977"/>
    <cellStyle name="Commentaire 7 2 2" xfId="978"/>
    <cellStyle name="Commentaire 7 2 3" xfId="9543"/>
    <cellStyle name="Commentaire 7 3" xfId="979"/>
    <cellStyle name="Commentaire 7 3 2" xfId="9544"/>
    <cellStyle name="Commentaire 7 3 3" xfId="9545"/>
    <cellStyle name="Commentaire 7 4" xfId="9546"/>
    <cellStyle name="Commentaire 7 5" xfId="9547"/>
    <cellStyle name="Commentaire 70" xfId="9548"/>
    <cellStyle name="Commentaire 70 2" xfId="9549"/>
    <cellStyle name="Commentaire 70 2 2" xfId="9550"/>
    <cellStyle name="Commentaire 70 2 3" xfId="9551"/>
    <cellStyle name="Commentaire 70 3" xfId="9552"/>
    <cellStyle name="Commentaire 70 3 2" xfId="9553"/>
    <cellStyle name="Commentaire 70 3 3" xfId="9554"/>
    <cellStyle name="Commentaire 70 4" xfId="9555"/>
    <cellStyle name="Commentaire 70 5" xfId="9556"/>
    <cellStyle name="Commentaire 71" xfId="9557"/>
    <cellStyle name="Commentaire 71 2" xfId="9558"/>
    <cellStyle name="Commentaire 71 2 2" xfId="9559"/>
    <cellStyle name="Commentaire 71 2 3" xfId="9560"/>
    <cellStyle name="Commentaire 71 3" xfId="9561"/>
    <cellStyle name="Commentaire 71 3 2" xfId="9562"/>
    <cellStyle name="Commentaire 71 3 3" xfId="9563"/>
    <cellStyle name="Commentaire 71 4" xfId="9564"/>
    <cellStyle name="Commentaire 71 5" xfId="9565"/>
    <cellStyle name="Commentaire 72" xfId="9566"/>
    <cellStyle name="Commentaire 72 2" xfId="9567"/>
    <cellStyle name="Commentaire 72 2 2" xfId="9568"/>
    <cellStyle name="Commentaire 72 2 3" xfId="9569"/>
    <cellStyle name="Commentaire 72 3" xfId="9570"/>
    <cellStyle name="Commentaire 72 3 2" xfId="9571"/>
    <cellStyle name="Commentaire 72 3 3" xfId="9572"/>
    <cellStyle name="Commentaire 72 4" xfId="9573"/>
    <cellStyle name="Commentaire 72 5" xfId="9574"/>
    <cellStyle name="Commentaire 73" xfId="9575"/>
    <cellStyle name="Commentaire 73 2" xfId="9576"/>
    <cellStyle name="Commentaire 73 2 2" xfId="9577"/>
    <cellStyle name="Commentaire 73 2 3" xfId="9578"/>
    <cellStyle name="Commentaire 73 3" xfId="9579"/>
    <cellStyle name="Commentaire 73 3 2" xfId="9580"/>
    <cellStyle name="Commentaire 73 3 3" xfId="9581"/>
    <cellStyle name="Commentaire 73 4" xfId="9582"/>
    <cellStyle name="Commentaire 73 5" xfId="9583"/>
    <cellStyle name="Commentaire 74" xfId="9584"/>
    <cellStyle name="Commentaire 74 2" xfId="9585"/>
    <cellStyle name="Commentaire 74 2 2" xfId="9586"/>
    <cellStyle name="Commentaire 74 2 3" xfId="9587"/>
    <cellStyle name="Commentaire 74 3" xfId="9588"/>
    <cellStyle name="Commentaire 74 3 2" xfId="9589"/>
    <cellStyle name="Commentaire 74 3 3" xfId="9590"/>
    <cellStyle name="Commentaire 74 4" xfId="9591"/>
    <cellStyle name="Commentaire 74 5" xfId="9592"/>
    <cellStyle name="Commentaire 75" xfId="9593"/>
    <cellStyle name="Commentaire 75 2" xfId="9594"/>
    <cellStyle name="Commentaire 75 2 2" xfId="9595"/>
    <cellStyle name="Commentaire 75 2 3" xfId="9596"/>
    <cellStyle name="Commentaire 75 3" xfId="9597"/>
    <cellStyle name="Commentaire 75 3 2" xfId="9598"/>
    <cellStyle name="Commentaire 75 3 3" xfId="9599"/>
    <cellStyle name="Commentaire 75 4" xfId="9600"/>
    <cellStyle name="Commentaire 75 5" xfId="9601"/>
    <cellStyle name="Commentaire 76" xfId="9602"/>
    <cellStyle name="Commentaire 76 2" xfId="9603"/>
    <cellStyle name="Commentaire 76 2 2" xfId="9604"/>
    <cellStyle name="Commentaire 76 2 3" xfId="9605"/>
    <cellStyle name="Commentaire 76 3" xfId="9606"/>
    <cellStyle name="Commentaire 76 3 2" xfId="9607"/>
    <cellStyle name="Commentaire 76 3 3" xfId="9608"/>
    <cellStyle name="Commentaire 76 4" xfId="9609"/>
    <cellStyle name="Commentaire 76 5" xfId="9610"/>
    <cellStyle name="Commentaire 77" xfId="9611"/>
    <cellStyle name="Commentaire 77 2" xfId="9612"/>
    <cellStyle name="Commentaire 77 2 2" xfId="9613"/>
    <cellStyle name="Commentaire 77 2 3" xfId="9614"/>
    <cellStyle name="Commentaire 77 3" xfId="9615"/>
    <cellStyle name="Commentaire 77 3 2" xfId="9616"/>
    <cellStyle name="Commentaire 77 3 3" xfId="9617"/>
    <cellStyle name="Commentaire 77 4" xfId="9618"/>
    <cellStyle name="Commentaire 77 5" xfId="9619"/>
    <cellStyle name="Commentaire 78" xfId="9620"/>
    <cellStyle name="Commentaire 78 2" xfId="9621"/>
    <cellStyle name="Commentaire 78 2 2" xfId="9622"/>
    <cellStyle name="Commentaire 78 2 3" xfId="9623"/>
    <cellStyle name="Commentaire 78 3" xfId="9624"/>
    <cellStyle name="Commentaire 78 3 2" xfId="9625"/>
    <cellStyle name="Commentaire 78 3 3" xfId="9626"/>
    <cellStyle name="Commentaire 78 4" xfId="9627"/>
    <cellStyle name="Commentaire 78 5" xfId="9628"/>
    <cellStyle name="Commentaire 79" xfId="9629"/>
    <cellStyle name="Commentaire 79 2" xfId="9630"/>
    <cellStyle name="Commentaire 79 3" xfId="9631"/>
    <cellStyle name="Commentaire 8" xfId="980"/>
    <cellStyle name="Commentaire 8 2" xfId="981"/>
    <cellStyle name="Commentaire 8 2 2" xfId="982"/>
    <cellStyle name="Commentaire 8 2 3" xfId="9632"/>
    <cellStyle name="Commentaire 8 3" xfId="983"/>
    <cellStyle name="Commentaire 8 3 2" xfId="9633"/>
    <cellStyle name="Commentaire 8 3 3" xfId="9634"/>
    <cellStyle name="Commentaire 8 4" xfId="9635"/>
    <cellStyle name="Commentaire 8 5" xfId="9636"/>
    <cellStyle name="Commentaire 80" xfId="9637"/>
    <cellStyle name="Commentaire 80 2" xfId="9638"/>
    <cellStyle name="Commentaire 80 3" xfId="9639"/>
    <cellStyle name="Commentaire 81" xfId="9640"/>
    <cellStyle name="Commentaire 81 2" xfId="9641"/>
    <cellStyle name="Commentaire 81 3" xfId="9642"/>
    <cellStyle name="Commentaire 82" xfId="9643"/>
    <cellStyle name="Commentaire 82 2" xfId="9644"/>
    <cellStyle name="Commentaire 82 3" xfId="9645"/>
    <cellStyle name="Commentaire 83" xfId="9646"/>
    <cellStyle name="Commentaire 84" xfId="9647"/>
    <cellStyle name="Commentaire 85" xfId="9648"/>
    <cellStyle name="Commentaire 86" xfId="9649"/>
    <cellStyle name="Commentaire 87" xfId="9650"/>
    <cellStyle name="Commentaire 88" xfId="9651"/>
    <cellStyle name="Commentaire 89" xfId="9652"/>
    <cellStyle name="Commentaire 9" xfId="984"/>
    <cellStyle name="Commentaire 9 2" xfId="985"/>
    <cellStyle name="Commentaire 9 2 2" xfId="986"/>
    <cellStyle name="Commentaire 9 2 3" xfId="9653"/>
    <cellStyle name="Commentaire 9 3" xfId="987"/>
    <cellStyle name="Commentaire 9 3 2" xfId="9654"/>
    <cellStyle name="Commentaire 9 3 3" xfId="9655"/>
    <cellStyle name="Commentaire 9 4" xfId="9656"/>
    <cellStyle name="Commentaire 9 5" xfId="9657"/>
    <cellStyle name="Commentaire 90" xfId="9658"/>
    <cellStyle name="Commentaire 91" xfId="9659"/>
    <cellStyle name="Commentaire 92" xfId="9660"/>
    <cellStyle name="Commentaire 93" xfId="9661"/>
    <cellStyle name="Commentaire 94" xfId="9662"/>
    <cellStyle name="Commentaire 95" xfId="9663"/>
    <cellStyle name="Commentaire 96" xfId="9664"/>
    <cellStyle name="Commentaire 97" xfId="9665"/>
    <cellStyle name="Commentaire 98" xfId="9666"/>
    <cellStyle name="Commentaire 99" xfId="9667"/>
    <cellStyle name="Currency" xfId="9668"/>
    <cellStyle name="Currency [0]" xfId="10490"/>
    <cellStyle name="Currency[0]" xfId="9669"/>
    <cellStyle name="Entrée 2" xfId="988"/>
    <cellStyle name="Insatisfaisant 2" xfId="989"/>
    <cellStyle name="Milliers" xfId="1094" builtinId="3"/>
    <cellStyle name="Milliers 10" xfId="990"/>
    <cellStyle name="Milliers 10 2" xfId="991"/>
    <cellStyle name="Milliers 10 3" xfId="9670"/>
    <cellStyle name="Milliers 11" xfId="992"/>
    <cellStyle name="Milliers 12" xfId="993"/>
    <cellStyle name="Milliers 13" xfId="1095"/>
    <cellStyle name="Milliers 2" xfId="994"/>
    <cellStyle name="Milliers 2 2" xfId="995"/>
    <cellStyle name="Milliers 2 2 2" xfId="9672"/>
    <cellStyle name="Milliers 2 3" xfId="996"/>
    <cellStyle name="Milliers 2 3 2" xfId="997"/>
    <cellStyle name="Milliers 2 3 2 2" xfId="998"/>
    <cellStyle name="Milliers 2 3 2 3" xfId="9674"/>
    <cellStyle name="Milliers 2 3 3" xfId="999"/>
    <cellStyle name="Milliers 2 3 4" xfId="9673"/>
    <cellStyle name="Milliers 2 4" xfId="9671"/>
    <cellStyle name="Milliers 3" xfId="1000"/>
    <cellStyle name="Milliers 4" xfId="1001"/>
    <cellStyle name="Milliers 4 2" xfId="1002"/>
    <cellStyle name="Milliers 4 2 2" xfId="9675"/>
    <cellStyle name="Milliers 5" xfId="1003"/>
    <cellStyle name="Milliers 5 2" xfId="9676"/>
    <cellStyle name="Milliers 6" xfId="1004"/>
    <cellStyle name="Milliers 7" xfId="1005"/>
    <cellStyle name="Milliers 7 2" xfId="1006"/>
    <cellStyle name="Milliers 7 2 2" xfId="1007"/>
    <cellStyle name="Milliers 7 3" xfId="1008"/>
    <cellStyle name="Milliers 8" xfId="1009"/>
    <cellStyle name="Milliers 8 2" xfId="9677"/>
    <cellStyle name="Milliers 9" xfId="1010"/>
    <cellStyle name="Milliers 9 2" xfId="1011"/>
    <cellStyle name="Milliers 9 3" xfId="9678"/>
    <cellStyle name="Neutre 2" xfId="1012"/>
    <cellStyle name="Normal" xfId="0" builtinId="0"/>
    <cellStyle name="Normal 10" xfId="1013"/>
    <cellStyle name="Normal 10 2" xfId="1014"/>
    <cellStyle name="Normal 10 2 2" xfId="9680"/>
    <cellStyle name="Normal 10 3" xfId="9681"/>
    <cellStyle name="Normal 10 4" xfId="9679"/>
    <cellStyle name="Normal 11" xfId="1015"/>
    <cellStyle name="Normal 11 2" xfId="1016"/>
    <cellStyle name="Normal 11 2 2" xfId="9682"/>
    <cellStyle name="Normal 11 2 3" xfId="9683"/>
    <cellStyle name="Normal 11 3" xfId="9684"/>
    <cellStyle name="Normal 11 3 2" xfId="9685"/>
    <cellStyle name="Normal 11 3 3" xfId="9686"/>
    <cellStyle name="Normal 11 4" xfId="9687"/>
    <cellStyle name="Normal 11 5" xfId="9688"/>
    <cellStyle name="Normal 12" xfId="1017"/>
    <cellStyle name="Normal 12 2" xfId="1018"/>
    <cellStyle name="Normal 12 2 2" xfId="1019"/>
    <cellStyle name="Normal 12 2 3" xfId="9689"/>
    <cellStyle name="Normal 12 3" xfId="1020"/>
    <cellStyle name="Normal 12 3 2" xfId="9690"/>
    <cellStyle name="Normal 12 3 3" xfId="9691"/>
    <cellStyle name="Normal 12 4" xfId="9692"/>
    <cellStyle name="Normal 12 5" xfId="9693"/>
    <cellStyle name="Normal 13" xfId="1021"/>
    <cellStyle name="Normal 13 2" xfId="9695"/>
    <cellStyle name="Normal 13 2 2" xfId="9696"/>
    <cellStyle name="Normal 13 2 3" xfId="9697"/>
    <cellStyle name="Normal 13 3" xfId="9698"/>
    <cellStyle name="Normal 13 3 2" xfId="9699"/>
    <cellStyle name="Normal 13 3 3" xfId="9700"/>
    <cellStyle name="Normal 13 4" xfId="9701"/>
    <cellStyle name="Normal 13 5" xfId="9702"/>
    <cellStyle name="Normal 13 6" xfId="9694"/>
    <cellStyle name="Normal 14" xfId="1022"/>
    <cellStyle name="Normal 14 2" xfId="9703"/>
    <cellStyle name="Normal 14 2 2" xfId="9704"/>
    <cellStyle name="Normal 14 2 3" xfId="9705"/>
    <cellStyle name="Normal 14 3" xfId="9706"/>
    <cellStyle name="Normal 14 3 2" xfId="9707"/>
    <cellStyle name="Normal 14 3 3" xfId="9708"/>
    <cellStyle name="Normal 14 4" xfId="9709"/>
    <cellStyle name="Normal 14 5" xfId="9710"/>
    <cellStyle name="Normal 15" xfId="9711"/>
    <cellStyle name="Normal 16" xfId="9712"/>
    <cellStyle name="Normal 16 2" xfId="9713"/>
    <cellStyle name="Normal 16 2 2" xfId="9714"/>
    <cellStyle name="Normal 16 2 3" xfId="9715"/>
    <cellStyle name="Normal 16 3" xfId="9716"/>
    <cellStyle name="Normal 16 3 2" xfId="9717"/>
    <cellStyle name="Normal 16 3 3" xfId="9718"/>
    <cellStyle name="Normal 16 4" xfId="9719"/>
    <cellStyle name="Normal 16 5" xfId="9720"/>
    <cellStyle name="Normal 17" xfId="9721"/>
    <cellStyle name="Normal 18" xfId="9722"/>
    <cellStyle name="Normal 19" xfId="9723"/>
    <cellStyle name="Normal 2" xfId="2"/>
    <cellStyle name="Normal 2 10" xfId="9725"/>
    <cellStyle name="Normal 2 11" xfId="9726"/>
    <cellStyle name="Normal 2 12" xfId="9727"/>
    <cellStyle name="Normal 2 13" xfId="9728"/>
    <cellStyle name="Normal 2 14" xfId="9729"/>
    <cellStyle name="Normal 2 15" xfId="9730"/>
    <cellStyle name="Normal 2 16" xfId="9731"/>
    <cellStyle name="Normal 2 17" xfId="9732"/>
    <cellStyle name="Normal 2 18" xfId="9733"/>
    <cellStyle name="Normal 2 18 10" xfId="9734"/>
    <cellStyle name="Normal 2 18 11" xfId="9735"/>
    <cellStyle name="Normal 2 18 12" xfId="9736"/>
    <cellStyle name="Normal 2 18 2" xfId="9737"/>
    <cellStyle name="Normal 2 18 3" xfId="9738"/>
    <cellStyle name="Normal 2 18 4" xfId="9739"/>
    <cellStyle name="Normal 2 18 5" xfId="9740"/>
    <cellStyle name="Normal 2 18 6" xfId="9741"/>
    <cellStyle name="Normal 2 18 7" xfId="9742"/>
    <cellStyle name="Normal 2 18 8" xfId="9743"/>
    <cellStyle name="Normal 2 18 9" xfId="9744"/>
    <cellStyle name="Normal 2 19" xfId="9745"/>
    <cellStyle name="Normal 2 2" xfId="1023"/>
    <cellStyle name="Normal 2 2 10" xfId="9746"/>
    <cellStyle name="Normal 2 2 11" xfId="9747"/>
    <cellStyle name="Normal 2 2 12" xfId="9748"/>
    <cellStyle name="Normal 2 2 13" xfId="9749"/>
    <cellStyle name="Normal 2 2 14" xfId="9750"/>
    <cellStyle name="Normal 2 2 15" xfId="9751"/>
    <cellStyle name="Normal 2 2 16" xfId="9752"/>
    <cellStyle name="Normal 2 2 17" xfId="9753"/>
    <cellStyle name="Normal 2 2 2" xfId="1024"/>
    <cellStyle name="Normal 2 2 2 2" xfId="1025"/>
    <cellStyle name="Normal 2 2 2 2 2" xfId="1026"/>
    <cellStyle name="Normal 2 2 2 3" xfId="1027"/>
    <cellStyle name="Normal 2 2 2 4" xfId="9754"/>
    <cellStyle name="Normal 2 2 3" xfId="1028"/>
    <cellStyle name="Normal 2 2 3 2" xfId="9755"/>
    <cellStyle name="Normal 2 2 4" xfId="1029"/>
    <cellStyle name="Normal 2 2 5" xfId="1030"/>
    <cellStyle name="Normal 2 2 5 2" xfId="1031"/>
    <cellStyle name="Normal 2 2 5 3" xfId="9756"/>
    <cellStyle name="Normal 2 2 6" xfId="1032"/>
    <cellStyle name="Normal 2 2 6 2" xfId="9757"/>
    <cellStyle name="Normal 2 2 7" xfId="9758"/>
    <cellStyle name="Normal 2 2 8" xfId="9759"/>
    <cellStyle name="Normal 2 2 9" xfId="9760"/>
    <cellStyle name="Normal 2 20" xfId="9761"/>
    <cellStyle name="Normal 2 21" xfId="9762"/>
    <cellStyle name="Normal 2 22" xfId="9763"/>
    <cellStyle name="Normal 2 23" xfId="9764"/>
    <cellStyle name="Normal 2 24" xfId="9765"/>
    <cellStyle name="Normal 2 25" xfId="9766"/>
    <cellStyle name="Normal 2 26" xfId="9767"/>
    <cellStyle name="Normal 2 27" xfId="9768"/>
    <cellStyle name="Normal 2 28" xfId="9769"/>
    <cellStyle name="Normal 2 29" xfId="9724"/>
    <cellStyle name="Normal 2 3" xfId="1033"/>
    <cellStyle name="Normal 2 3 10" xfId="9770"/>
    <cellStyle name="Normal 2 3 11" xfId="9771"/>
    <cellStyle name="Normal 2 3 12" xfId="9772"/>
    <cellStyle name="Normal 2 3 13" xfId="9773"/>
    <cellStyle name="Normal 2 3 13 10" xfId="9774"/>
    <cellStyle name="Normal 2 3 13 11" xfId="9775"/>
    <cellStyle name="Normal 2 3 13 12" xfId="9776"/>
    <cellStyle name="Normal 2 3 13 2" xfId="9777"/>
    <cellStyle name="Normal 2 3 13 3" xfId="9778"/>
    <cellStyle name="Normal 2 3 13 4" xfId="9779"/>
    <cellStyle name="Normal 2 3 13 5" xfId="9780"/>
    <cellStyle name="Normal 2 3 13 6" xfId="9781"/>
    <cellStyle name="Normal 2 3 13 7" xfId="9782"/>
    <cellStyle name="Normal 2 3 13 8" xfId="9783"/>
    <cellStyle name="Normal 2 3 13 9" xfId="9784"/>
    <cellStyle name="Normal 2 3 14" xfId="9785"/>
    <cellStyle name="Normal 2 3 15" xfId="9786"/>
    <cellStyle name="Normal 2 3 16" xfId="9787"/>
    <cellStyle name="Normal 2 3 17" xfId="9788"/>
    <cellStyle name="Normal 2 3 18" xfId="9789"/>
    <cellStyle name="Normal 2 3 19" xfId="9790"/>
    <cellStyle name="Normal 2 3 2" xfId="1034"/>
    <cellStyle name="Normal 2 3 2 10" xfId="9792"/>
    <cellStyle name="Normal 2 3 2 11" xfId="9793"/>
    <cellStyle name="Normal 2 3 2 12" xfId="9794"/>
    <cellStyle name="Normal 2 3 2 12 10" xfId="9795"/>
    <cellStyle name="Normal 2 3 2 12 11" xfId="9796"/>
    <cellStyle name="Normal 2 3 2 12 12" xfId="9797"/>
    <cellStyle name="Normal 2 3 2 12 2" xfId="9798"/>
    <cellStyle name="Normal 2 3 2 12 3" xfId="9799"/>
    <cellStyle name="Normal 2 3 2 12 4" xfId="9800"/>
    <cellStyle name="Normal 2 3 2 12 5" xfId="9801"/>
    <cellStyle name="Normal 2 3 2 12 6" xfId="9802"/>
    <cellStyle name="Normal 2 3 2 12 7" xfId="9803"/>
    <cellStyle name="Normal 2 3 2 12 8" xfId="9804"/>
    <cellStyle name="Normal 2 3 2 12 9" xfId="9805"/>
    <cellStyle name="Normal 2 3 2 13" xfId="9806"/>
    <cellStyle name="Normal 2 3 2 14" xfId="9807"/>
    <cellStyle name="Normal 2 3 2 15" xfId="9808"/>
    <cellStyle name="Normal 2 3 2 16" xfId="9809"/>
    <cellStyle name="Normal 2 3 2 17" xfId="9810"/>
    <cellStyle name="Normal 2 3 2 18" xfId="9811"/>
    <cellStyle name="Normal 2 3 2 19" xfId="9812"/>
    <cellStyle name="Normal 2 3 2 2" xfId="1035"/>
    <cellStyle name="Normal 2 3 2 2 10" xfId="9813"/>
    <cellStyle name="Normal 2 3 2 2 11" xfId="9814"/>
    <cellStyle name="Normal 2 3 2 2 12" xfId="9815"/>
    <cellStyle name="Normal 2 3 2 2 13" xfId="9816"/>
    <cellStyle name="Normal 2 3 2 2 2" xfId="9817"/>
    <cellStyle name="Normal 2 3 2 2 2 10" xfId="9818"/>
    <cellStyle name="Normal 2 3 2 2 2 11" xfId="9819"/>
    <cellStyle name="Normal 2 3 2 2 2 12" xfId="9820"/>
    <cellStyle name="Normal 2 3 2 2 2 2" xfId="9821"/>
    <cellStyle name="Normal 2 3 2 2 2 3" xfId="9822"/>
    <cellStyle name="Normal 2 3 2 2 2 4" xfId="9823"/>
    <cellStyle name="Normal 2 3 2 2 2 5" xfId="9824"/>
    <cellStyle name="Normal 2 3 2 2 2 6" xfId="9825"/>
    <cellStyle name="Normal 2 3 2 2 2 7" xfId="9826"/>
    <cellStyle name="Normal 2 3 2 2 2 8" xfId="9827"/>
    <cellStyle name="Normal 2 3 2 2 2 9" xfId="9828"/>
    <cellStyle name="Normal 2 3 2 2 3" xfId="9829"/>
    <cellStyle name="Normal 2 3 2 2 4" xfId="9830"/>
    <cellStyle name="Normal 2 3 2 2 5" xfId="9831"/>
    <cellStyle name="Normal 2 3 2 2 6" xfId="9832"/>
    <cellStyle name="Normal 2 3 2 2 7" xfId="9833"/>
    <cellStyle name="Normal 2 3 2 2 8" xfId="9834"/>
    <cellStyle name="Normal 2 3 2 2 9" xfId="9835"/>
    <cellStyle name="Normal 2 3 2 20" xfId="9836"/>
    <cellStyle name="Normal 2 3 2 21" xfId="9837"/>
    <cellStyle name="Normal 2 3 2 22" xfId="9838"/>
    <cellStyle name="Normal 2 3 2 23" xfId="9791"/>
    <cellStyle name="Normal 2 3 2 3" xfId="9839"/>
    <cellStyle name="Normal 2 3 2 4" xfId="9840"/>
    <cellStyle name="Normal 2 3 2 5" xfId="9841"/>
    <cellStyle name="Normal 2 3 2 6" xfId="9842"/>
    <cellStyle name="Normal 2 3 2 7" xfId="9843"/>
    <cellStyle name="Normal 2 3 2 8" xfId="9844"/>
    <cellStyle name="Normal 2 3 2 9" xfId="9845"/>
    <cellStyle name="Normal 2 3 20" xfId="9846"/>
    <cellStyle name="Normal 2 3 21" xfId="9847"/>
    <cellStyle name="Normal 2 3 22" xfId="9848"/>
    <cellStyle name="Normal 2 3 23" xfId="9849"/>
    <cellStyle name="Normal 2 3 3" xfId="1036"/>
    <cellStyle name="Normal 2 3 3 2" xfId="9850"/>
    <cellStyle name="Normal 2 3 3 3" xfId="9851"/>
    <cellStyle name="Normal 2 3 4" xfId="9852"/>
    <cellStyle name="Normal 2 3 4 10" xfId="9853"/>
    <cellStyle name="Normal 2 3 4 11" xfId="9854"/>
    <cellStyle name="Normal 2 3 4 12" xfId="9855"/>
    <cellStyle name="Normal 2 3 4 13" xfId="9856"/>
    <cellStyle name="Normal 2 3 4 2" xfId="9857"/>
    <cellStyle name="Normal 2 3 4 2 10" xfId="9858"/>
    <cellStyle name="Normal 2 3 4 2 11" xfId="9859"/>
    <cellStyle name="Normal 2 3 4 2 12" xfId="9860"/>
    <cellStyle name="Normal 2 3 4 2 2" xfId="9861"/>
    <cellStyle name="Normal 2 3 4 2 3" xfId="9862"/>
    <cellStyle name="Normal 2 3 4 2 4" xfId="9863"/>
    <cellStyle name="Normal 2 3 4 2 5" xfId="9864"/>
    <cellStyle name="Normal 2 3 4 2 6" xfId="9865"/>
    <cellStyle name="Normal 2 3 4 2 7" xfId="9866"/>
    <cellStyle name="Normal 2 3 4 2 8" xfId="9867"/>
    <cellStyle name="Normal 2 3 4 2 9" xfId="9868"/>
    <cellStyle name="Normal 2 3 4 3" xfId="9869"/>
    <cellStyle name="Normal 2 3 4 4" xfId="9870"/>
    <cellStyle name="Normal 2 3 4 5" xfId="9871"/>
    <cellStyle name="Normal 2 3 4 6" xfId="9872"/>
    <cellStyle name="Normal 2 3 4 7" xfId="9873"/>
    <cellStyle name="Normal 2 3 4 8" xfId="9874"/>
    <cellStyle name="Normal 2 3 4 9" xfId="9875"/>
    <cellStyle name="Normal 2 3 5" xfId="9876"/>
    <cellStyle name="Normal 2 3 6" xfId="9877"/>
    <cellStyle name="Normal 2 3 7" xfId="9878"/>
    <cellStyle name="Normal 2 3 8" xfId="9879"/>
    <cellStyle name="Normal 2 3 9" xfId="9880"/>
    <cellStyle name="Normal 2 4" xfId="1037"/>
    <cellStyle name="Normal 2 4 10" xfId="9882"/>
    <cellStyle name="Normal 2 4 11" xfId="9883"/>
    <cellStyle name="Normal 2 4 12" xfId="9884"/>
    <cellStyle name="Normal 2 4 12 10" xfId="9885"/>
    <cellStyle name="Normal 2 4 12 11" xfId="9886"/>
    <cellStyle name="Normal 2 4 12 12" xfId="9887"/>
    <cellStyle name="Normal 2 4 12 2" xfId="9888"/>
    <cellStyle name="Normal 2 4 12 3" xfId="9889"/>
    <cellStyle name="Normal 2 4 12 4" xfId="9890"/>
    <cellStyle name="Normal 2 4 12 5" xfId="9891"/>
    <cellStyle name="Normal 2 4 12 6" xfId="9892"/>
    <cellStyle name="Normal 2 4 12 7" xfId="9893"/>
    <cellStyle name="Normal 2 4 12 8" xfId="9894"/>
    <cellStyle name="Normal 2 4 12 9" xfId="9895"/>
    <cellStyle name="Normal 2 4 13" xfId="9896"/>
    <cellStyle name="Normal 2 4 14" xfId="9897"/>
    <cellStyle name="Normal 2 4 15" xfId="9898"/>
    <cellStyle name="Normal 2 4 16" xfId="9899"/>
    <cellStyle name="Normal 2 4 17" xfId="9900"/>
    <cellStyle name="Normal 2 4 18" xfId="9901"/>
    <cellStyle name="Normal 2 4 19" xfId="9902"/>
    <cellStyle name="Normal 2 4 2" xfId="9903"/>
    <cellStyle name="Normal 2 4 2 10" xfId="9904"/>
    <cellStyle name="Normal 2 4 2 11" xfId="9905"/>
    <cellStyle name="Normal 2 4 2 12" xfId="9906"/>
    <cellStyle name="Normal 2 4 2 13" xfId="9907"/>
    <cellStyle name="Normal 2 4 2 2" xfId="9908"/>
    <cellStyle name="Normal 2 4 2 2 10" xfId="9909"/>
    <cellStyle name="Normal 2 4 2 2 11" xfId="9910"/>
    <cellStyle name="Normal 2 4 2 2 12" xfId="9911"/>
    <cellStyle name="Normal 2 4 2 2 2" xfId="9912"/>
    <cellStyle name="Normal 2 4 2 2 3" xfId="9913"/>
    <cellStyle name="Normal 2 4 2 2 4" xfId="9914"/>
    <cellStyle name="Normal 2 4 2 2 5" xfId="9915"/>
    <cellStyle name="Normal 2 4 2 2 6" xfId="9916"/>
    <cellStyle name="Normal 2 4 2 2 7" xfId="9917"/>
    <cellStyle name="Normal 2 4 2 2 8" xfId="9918"/>
    <cellStyle name="Normal 2 4 2 2 9" xfId="9919"/>
    <cellStyle name="Normal 2 4 2 3" xfId="9920"/>
    <cellStyle name="Normal 2 4 2 4" xfId="9921"/>
    <cellStyle name="Normal 2 4 2 5" xfId="9922"/>
    <cellStyle name="Normal 2 4 2 6" xfId="9923"/>
    <cellStyle name="Normal 2 4 2 7" xfId="9924"/>
    <cellStyle name="Normal 2 4 2 8" xfId="9925"/>
    <cellStyle name="Normal 2 4 2 9" xfId="9926"/>
    <cellStyle name="Normal 2 4 20" xfId="9927"/>
    <cellStyle name="Normal 2 4 21" xfId="9928"/>
    <cellStyle name="Normal 2 4 22" xfId="9929"/>
    <cellStyle name="Normal 2 4 23" xfId="9881"/>
    <cellStyle name="Normal 2 4 3" xfId="9930"/>
    <cellStyle name="Normal 2 4 4" xfId="9931"/>
    <cellStyle name="Normal 2 4 5" xfId="9932"/>
    <cellStyle name="Normal 2 4 6" xfId="9933"/>
    <cellStyle name="Normal 2 4 7" xfId="9934"/>
    <cellStyle name="Normal 2 4 8" xfId="9935"/>
    <cellStyle name="Normal 2 4 9" xfId="9936"/>
    <cellStyle name="Normal 2 5" xfId="1038"/>
    <cellStyle name="Normal 2 5 10" xfId="9937"/>
    <cellStyle name="Normal 2 5 11" xfId="9938"/>
    <cellStyle name="Normal 2 5 12" xfId="9939"/>
    <cellStyle name="Normal 2 5 13" xfId="9940"/>
    <cellStyle name="Normal 2 5 2" xfId="1039"/>
    <cellStyle name="Normal 2 5 2 10" xfId="9942"/>
    <cellStyle name="Normal 2 5 2 11" xfId="9943"/>
    <cellStyle name="Normal 2 5 2 12" xfId="9944"/>
    <cellStyle name="Normal 2 5 2 13" xfId="9941"/>
    <cellStyle name="Normal 2 5 2 2" xfId="9945"/>
    <cellStyle name="Normal 2 5 2 3" xfId="9946"/>
    <cellStyle name="Normal 2 5 2 4" xfId="9947"/>
    <cellStyle name="Normal 2 5 2 5" xfId="9948"/>
    <cellStyle name="Normal 2 5 2 6" xfId="9949"/>
    <cellStyle name="Normal 2 5 2 7" xfId="9950"/>
    <cellStyle name="Normal 2 5 2 8" xfId="9951"/>
    <cellStyle name="Normal 2 5 2 9" xfId="9952"/>
    <cellStyle name="Normal 2 5 3" xfId="9953"/>
    <cellStyle name="Normal 2 5 4" xfId="9954"/>
    <cellStyle name="Normal 2 5 5" xfId="9955"/>
    <cellStyle name="Normal 2 5 6" xfId="9956"/>
    <cellStyle name="Normal 2 5 7" xfId="9957"/>
    <cellStyle name="Normal 2 5 8" xfId="9958"/>
    <cellStyle name="Normal 2 5 9" xfId="9959"/>
    <cellStyle name="Normal 2 6" xfId="1040"/>
    <cellStyle name="Normal 2 6 2" xfId="1041"/>
    <cellStyle name="Normal 2 7" xfId="1042"/>
    <cellStyle name="Normal 2 8" xfId="9960"/>
    <cellStyle name="Normal 2 9" xfId="9961"/>
    <cellStyle name="Normal 20" xfId="9962"/>
    <cellStyle name="Normal 20 2" xfId="9963"/>
    <cellStyle name="Normal 20 2 10" xfId="9964"/>
    <cellStyle name="Normal 20 2 11" xfId="9965"/>
    <cellStyle name="Normal 20 2 12" xfId="9966"/>
    <cellStyle name="Normal 20 2 13" xfId="9967"/>
    <cellStyle name="Normal 20 2 2" xfId="9968"/>
    <cellStyle name="Normal 20 2 2 10" xfId="9969"/>
    <cellStyle name="Normal 20 2 2 11" xfId="9970"/>
    <cellStyle name="Normal 20 2 2 12" xfId="9971"/>
    <cellStyle name="Normal 20 2 2 2" xfId="9972"/>
    <cellStyle name="Normal 20 2 2 3" xfId="9973"/>
    <cellStyle name="Normal 20 2 2 4" xfId="9974"/>
    <cellStyle name="Normal 20 2 2 5" xfId="9975"/>
    <cellStyle name="Normal 20 2 2 6" xfId="9976"/>
    <cellStyle name="Normal 20 2 2 7" xfId="9977"/>
    <cellStyle name="Normal 20 2 2 8" xfId="9978"/>
    <cellStyle name="Normal 20 2 2 9" xfId="9979"/>
    <cellStyle name="Normal 20 2 3" xfId="9980"/>
    <cellStyle name="Normal 20 2 4" xfId="9981"/>
    <cellStyle name="Normal 20 2 5" xfId="9982"/>
    <cellStyle name="Normal 20 2 6" xfId="9983"/>
    <cellStyle name="Normal 20 2 7" xfId="9984"/>
    <cellStyle name="Normal 20 2 8" xfId="9985"/>
    <cellStyle name="Normal 20 2 9" xfId="9986"/>
    <cellStyle name="Normal 20 3" xfId="9987"/>
    <cellStyle name="Normal 21" xfId="9988"/>
    <cellStyle name="Normal 22" xfId="9989"/>
    <cellStyle name="Normal 23" xfId="9990"/>
    <cellStyle name="Normal 24" xfId="9991"/>
    <cellStyle name="Normal 25" xfId="9992"/>
    <cellStyle name="Normal 3" xfId="1043"/>
    <cellStyle name="Normal 3 10" xfId="9994"/>
    <cellStyle name="Normal 3 11" xfId="9995"/>
    <cellStyle name="Normal 3 12" xfId="9996"/>
    <cellStyle name="Normal 3 13" xfId="9997"/>
    <cellStyle name="Normal 3 13 10" xfId="9998"/>
    <cellStyle name="Normal 3 13 11" xfId="9999"/>
    <cellStyle name="Normal 3 13 12" xfId="10000"/>
    <cellStyle name="Normal 3 13 2" xfId="10001"/>
    <cellStyle name="Normal 3 13 3" xfId="10002"/>
    <cellStyle name="Normal 3 13 4" xfId="10003"/>
    <cellStyle name="Normal 3 13 5" xfId="10004"/>
    <cellStyle name="Normal 3 13 6" xfId="10005"/>
    <cellStyle name="Normal 3 13 7" xfId="10006"/>
    <cellStyle name="Normal 3 13 8" xfId="10007"/>
    <cellStyle name="Normal 3 13 9" xfId="10008"/>
    <cellStyle name="Normal 3 14" xfId="10009"/>
    <cellStyle name="Normal 3 15" xfId="10010"/>
    <cellStyle name="Normal 3 16" xfId="10011"/>
    <cellStyle name="Normal 3 17" xfId="10012"/>
    <cellStyle name="Normal 3 18" xfId="10013"/>
    <cellStyle name="Normal 3 19" xfId="10014"/>
    <cellStyle name="Normal 3 2" xfId="1044"/>
    <cellStyle name="Normal 3 2 10" xfId="10016"/>
    <cellStyle name="Normal 3 2 11" xfId="10017"/>
    <cellStyle name="Normal 3 2 12" xfId="10018"/>
    <cellStyle name="Normal 3 2 13" xfId="10019"/>
    <cellStyle name="Normal 3 2 13 10" xfId="10020"/>
    <cellStyle name="Normal 3 2 13 11" xfId="10021"/>
    <cellStyle name="Normal 3 2 13 12" xfId="10022"/>
    <cellStyle name="Normal 3 2 13 2" xfId="10023"/>
    <cellStyle name="Normal 3 2 13 3" xfId="10024"/>
    <cellStyle name="Normal 3 2 13 4" xfId="10025"/>
    <cellStyle name="Normal 3 2 13 5" xfId="10026"/>
    <cellStyle name="Normal 3 2 13 6" xfId="10027"/>
    <cellStyle name="Normal 3 2 13 7" xfId="10028"/>
    <cellStyle name="Normal 3 2 13 8" xfId="10029"/>
    <cellStyle name="Normal 3 2 13 9" xfId="10030"/>
    <cellStyle name="Normal 3 2 14" xfId="10031"/>
    <cellStyle name="Normal 3 2 15" xfId="10032"/>
    <cellStyle name="Normal 3 2 16" xfId="10033"/>
    <cellStyle name="Normal 3 2 17" xfId="10034"/>
    <cellStyle name="Normal 3 2 18" xfId="10035"/>
    <cellStyle name="Normal 3 2 19" xfId="10036"/>
    <cellStyle name="Normal 3 2 2" xfId="1045"/>
    <cellStyle name="Normal 3 2 2 10" xfId="10038"/>
    <cellStyle name="Normal 3 2 2 11" xfId="10039"/>
    <cellStyle name="Normal 3 2 2 12" xfId="10040"/>
    <cellStyle name="Normal 3 2 2 12 10" xfId="10041"/>
    <cellStyle name="Normal 3 2 2 12 11" xfId="10042"/>
    <cellStyle name="Normal 3 2 2 12 12" xfId="10043"/>
    <cellStyle name="Normal 3 2 2 12 2" xfId="10044"/>
    <cellStyle name="Normal 3 2 2 12 3" xfId="10045"/>
    <cellStyle name="Normal 3 2 2 12 4" xfId="10046"/>
    <cellStyle name="Normal 3 2 2 12 5" xfId="10047"/>
    <cellStyle name="Normal 3 2 2 12 6" xfId="10048"/>
    <cellStyle name="Normal 3 2 2 12 7" xfId="10049"/>
    <cellStyle name="Normal 3 2 2 12 8" xfId="10050"/>
    <cellStyle name="Normal 3 2 2 12 9" xfId="10051"/>
    <cellStyle name="Normal 3 2 2 13" xfId="10052"/>
    <cellStyle name="Normal 3 2 2 14" xfId="10053"/>
    <cellStyle name="Normal 3 2 2 15" xfId="10054"/>
    <cellStyle name="Normal 3 2 2 16" xfId="10055"/>
    <cellStyle name="Normal 3 2 2 17" xfId="10056"/>
    <cellStyle name="Normal 3 2 2 18" xfId="10057"/>
    <cellStyle name="Normal 3 2 2 19" xfId="10058"/>
    <cellStyle name="Normal 3 2 2 2" xfId="1046"/>
    <cellStyle name="Normal 3 2 2 2 10" xfId="10060"/>
    <cellStyle name="Normal 3 2 2 2 11" xfId="10061"/>
    <cellStyle name="Normal 3 2 2 2 12" xfId="10062"/>
    <cellStyle name="Normal 3 2 2 2 13" xfId="10063"/>
    <cellStyle name="Normal 3 2 2 2 14" xfId="10059"/>
    <cellStyle name="Normal 3 2 2 2 2" xfId="10064"/>
    <cellStyle name="Normal 3 2 2 2 2 10" xfId="10065"/>
    <cellStyle name="Normal 3 2 2 2 2 11" xfId="10066"/>
    <cellStyle name="Normal 3 2 2 2 2 12" xfId="10067"/>
    <cellStyle name="Normal 3 2 2 2 2 2" xfId="10068"/>
    <cellStyle name="Normal 3 2 2 2 2 3" xfId="10069"/>
    <cellStyle name="Normal 3 2 2 2 2 4" xfId="10070"/>
    <cellStyle name="Normal 3 2 2 2 2 5" xfId="10071"/>
    <cellStyle name="Normal 3 2 2 2 2 6" xfId="10072"/>
    <cellStyle name="Normal 3 2 2 2 2 7" xfId="10073"/>
    <cellStyle name="Normal 3 2 2 2 2 8" xfId="10074"/>
    <cellStyle name="Normal 3 2 2 2 2 9" xfId="10075"/>
    <cellStyle name="Normal 3 2 2 2 3" xfId="10076"/>
    <cellStyle name="Normal 3 2 2 2 4" xfId="10077"/>
    <cellStyle name="Normal 3 2 2 2 5" xfId="10078"/>
    <cellStyle name="Normal 3 2 2 2 6" xfId="10079"/>
    <cellStyle name="Normal 3 2 2 2 7" xfId="10080"/>
    <cellStyle name="Normal 3 2 2 2 8" xfId="10081"/>
    <cellStyle name="Normal 3 2 2 2 9" xfId="10082"/>
    <cellStyle name="Normal 3 2 2 20" xfId="10083"/>
    <cellStyle name="Normal 3 2 2 21" xfId="10084"/>
    <cellStyle name="Normal 3 2 2 22" xfId="10085"/>
    <cellStyle name="Normal 3 2 2 23" xfId="10037"/>
    <cellStyle name="Normal 3 2 2 3" xfId="10086"/>
    <cellStyle name="Normal 3 2 2 4" xfId="10087"/>
    <cellStyle name="Normal 3 2 2 5" xfId="10088"/>
    <cellStyle name="Normal 3 2 2 6" xfId="10089"/>
    <cellStyle name="Normal 3 2 2 7" xfId="10090"/>
    <cellStyle name="Normal 3 2 2 8" xfId="10091"/>
    <cellStyle name="Normal 3 2 2 9" xfId="10092"/>
    <cellStyle name="Normal 3 2 20" xfId="10093"/>
    <cellStyle name="Normal 3 2 21" xfId="10094"/>
    <cellStyle name="Normal 3 2 22" xfId="10095"/>
    <cellStyle name="Normal 3 2 23" xfId="10096"/>
    <cellStyle name="Normal 3 2 24" xfId="10015"/>
    <cellStyle name="Normal 3 2 3" xfId="1047"/>
    <cellStyle name="Normal 3 2 3 2" xfId="10097"/>
    <cellStyle name="Normal 3 2 4" xfId="10098"/>
    <cellStyle name="Normal 3 2 4 10" xfId="10099"/>
    <cellStyle name="Normal 3 2 4 11" xfId="10100"/>
    <cellStyle name="Normal 3 2 4 12" xfId="10101"/>
    <cellStyle name="Normal 3 2 4 13" xfId="10102"/>
    <cellStyle name="Normal 3 2 4 2" xfId="10103"/>
    <cellStyle name="Normal 3 2 4 2 10" xfId="10104"/>
    <cellStyle name="Normal 3 2 4 2 11" xfId="10105"/>
    <cellStyle name="Normal 3 2 4 2 12" xfId="10106"/>
    <cellStyle name="Normal 3 2 4 2 2" xfId="10107"/>
    <cellStyle name="Normal 3 2 4 2 3" xfId="10108"/>
    <cellStyle name="Normal 3 2 4 2 4" xfId="10109"/>
    <cellStyle name="Normal 3 2 4 2 5" xfId="10110"/>
    <cellStyle name="Normal 3 2 4 2 6" xfId="10111"/>
    <cellStyle name="Normal 3 2 4 2 7" xfId="10112"/>
    <cellStyle name="Normal 3 2 4 2 8" xfId="10113"/>
    <cellStyle name="Normal 3 2 4 2 9" xfId="10114"/>
    <cellStyle name="Normal 3 2 4 3" xfId="10115"/>
    <cellStyle name="Normal 3 2 4 4" xfId="10116"/>
    <cellStyle name="Normal 3 2 4 5" xfId="10117"/>
    <cellStyle name="Normal 3 2 4 6" xfId="10118"/>
    <cellStyle name="Normal 3 2 4 7" xfId="10119"/>
    <cellStyle name="Normal 3 2 4 8" xfId="10120"/>
    <cellStyle name="Normal 3 2 4 9" xfId="10121"/>
    <cellStyle name="Normal 3 2 5" xfId="10122"/>
    <cellStyle name="Normal 3 2 6" xfId="10123"/>
    <cellStyle name="Normal 3 2 7" xfId="10124"/>
    <cellStyle name="Normal 3 2 8" xfId="10125"/>
    <cellStyle name="Normal 3 2 9" xfId="10126"/>
    <cellStyle name="Normal 3 20" xfId="10127"/>
    <cellStyle name="Normal 3 21" xfId="10128"/>
    <cellStyle name="Normal 3 22" xfId="10129"/>
    <cellStyle name="Normal 3 23" xfId="10130"/>
    <cellStyle name="Normal 3 24" xfId="9993"/>
    <cellStyle name="Normal 3 3" xfId="1048"/>
    <cellStyle name="Normal 3 3 10" xfId="10132"/>
    <cellStyle name="Normal 3 3 11" xfId="10133"/>
    <cellStyle name="Normal 3 3 12" xfId="10134"/>
    <cellStyle name="Normal 3 3 12 10" xfId="10135"/>
    <cellStyle name="Normal 3 3 12 11" xfId="10136"/>
    <cellStyle name="Normal 3 3 12 12" xfId="10137"/>
    <cellStyle name="Normal 3 3 12 2" xfId="10138"/>
    <cellStyle name="Normal 3 3 12 3" xfId="10139"/>
    <cellStyle name="Normal 3 3 12 4" xfId="10140"/>
    <cellStyle name="Normal 3 3 12 5" xfId="10141"/>
    <cellStyle name="Normal 3 3 12 6" xfId="10142"/>
    <cellStyle name="Normal 3 3 12 7" xfId="10143"/>
    <cellStyle name="Normal 3 3 12 8" xfId="10144"/>
    <cellStyle name="Normal 3 3 12 9" xfId="10145"/>
    <cellStyle name="Normal 3 3 13" xfId="10146"/>
    <cellStyle name="Normal 3 3 14" xfId="10147"/>
    <cellStyle name="Normal 3 3 15" xfId="10148"/>
    <cellStyle name="Normal 3 3 16" xfId="10149"/>
    <cellStyle name="Normal 3 3 17" xfId="10150"/>
    <cellStyle name="Normal 3 3 18" xfId="10151"/>
    <cellStyle name="Normal 3 3 19" xfId="10152"/>
    <cellStyle name="Normal 3 3 2" xfId="1049"/>
    <cellStyle name="Normal 3 3 2 10" xfId="10154"/>
    <cellStyle name="Normal 3 3 2 11" xfId="10155"/>
    <cellStyle name="Normal 3 3 2 12" xfId="10156"/>
    <cellStyle name="Normal 3 3 2 13" xfId="10157"/>
    <cellStyle name="Normal 3 3 2 14" xfId="10153"/>
    <cellStyle name="Normal 3 3 2 2" xfId="1050"/>
    <cellStyle name="Normal 3 3 2 2 10" xfId="10159"/>
    <cellStyle name="Normal 3 3 2 2 11" xfId="10160"/>
    <cellStyle name="Normal 3 3 2 2 12" xfId="10161"/>
    <cellStyle name="Normal 3 3 2 2 13" xfId="10158"/>
    <cellStyle name="Normal 3 3 2 2 2" xfId="10162"/>
    <cellStyle name="Normal 3 3 2 2 3" xfId="10163"/>
    <cellStyle name="Normal 3 3 2 2 4" xfId="10164"/>
    <cellStyle name="Normal 3 3 2 2 5" xfId="10165"/>
    <cellStyle name="Normal 3 3 2 2 6" xfId="10166"/>
    <cellStyle name="Normal 3 3 2 2 7" xfId="10167"/>
    <cellStyle name="Normal 3 3 2 2 8" xfId="10168"/>
    <cellStyle name="Normal 3 3 2 2 9" xfId="10169"/>
    <cellStyle name="Normal 3 3 2 3" xfId="10170"/>
    <cellStyle name="Normal 3 3 2 4" xfId="10171"/>
    <cellStyle name="Normal 3 3 2 5" xfId="10172"/>
    <cellStyle name="Normal 3 3 2 6" xfId="10173"/>
    <cellStyle name="Normal 3 3 2 7" xfId="10174"/>
    <cellStyle name="Normal 3 3 2 8" xfId="10175"/>
    <cellStyle name="Normal 3 3 2 9" xfId="10176"/>
    <cellStyle name="Normal 3 3 20" xfId="10177"/>
    <cellStyle name="Normal 3 3 21" xfId="10178"/>
    <cellStyle name="Normal 3 3 22" xfId="10179"/>
    <cellStyle name="Normal 3 3 23" xfId="10131"/>
    <cellStyle name="Normal 3 3 3" xfId="1051"/>
    <cellStyle name="Normal 3 3 3 2" xfId="10180"/>
    <cellStyle name="Normal 3 3 4" xfId="10181"/>
    <cellStyle name="Normal 3 3 5" xfId="10182"/>
    <cellStyle name="Normal 3 3 6" xfId="10183"/>
    <cellStyle name="Normal 3 3 7" xfId="10184"/>
    <cellStyle name="Normal 3 3 8" xfId="10185"/>
    <cellStyle name="Normal 3 3 9" xfId="10186"/>
    <cellStyle name="Normal 3 4" xfId="10187"/>
    <cellStyle name="Normal 3 4 10" xfId="10188"/>
    <cellStyle name="Normal 3 4 11" xfId="10189"/>
    <cellStyle name="Normal 3 4 12" xfId="10190"/>
    <cellStyle name="Normal 3 4 13" xfId="10191"/>
    <cellStyle name="Normal 3 4 2" xfId="10192"/>
    <cellStyle name="Normal 3 4 2 10" xfId="10193"/>
    <cellStyle name="Normal 3 4 2 11" xfId="10194"/>
    <cellStyle name="Normal 3 4 2 12" xfId="10195"/>
    <cellStyle name="Normal 3 4 2 2" xfId="10196"/>
    <cellStyle name="Normal 3 4 2 3" xfId="10197"/>
    <cellStyle name="Normal 3 4 2 4" xfId="10198"/>
    <cellStyle name="Normal 3 4 2 5" xfId="10199"/>
    <cellStyle name="Normal 3 4 2 6" xfId="10200"/>
    <cellStyle name="Normal 3 4 2 7" xfId="10201"/>
    <cellStyle name="Normal 3 4 2 8" xfId="10202"/>
    <cellStyle name="Normal 3 4 2 9" xfId="10203"/>
    <cellStyle name="Normal 3 4 3" xfId="10204"/>
    <cellStyle name="Normal 3 4 4" xfId="10205"/>
    <cellStyle name="Normal 3 4 5" xfId="10206"/>
    <cellStyle name="Normal 3 4 6" xfId="10207"/>
    <cellStyle name="Normal 3 4 7" xfId="10208"/>
    <cellStyle name="Normal 3 4 8" xfId="10209"/>
    <cellStyle name="Normal 3 4 9" xfId="10210"/>
    <cellStyle name="Normal 3 5" xfId="10211"/>
    <cellStyle name="Normal 3 6" xfId="10212"/>
    <cellStyle name="Normal 3 7" xfId="10213"/>
    <cellStyle name="Normal 3 8" xfId="10214"/>
    <cellStyle name="Normal 3 9" xfId="10215"/>
    <cellStyle name="Normal 35" xfId="10216"/>
    <cellStyle name="Normal 36" xfId="10217"/>
    <cellStyle name="Normal 4" xfId="1052"/>
    <cellStyle name="Normal 4 2" xfId="1053"/>
    <cellStyle name="Normal 4 2 2" xfId="1054"/>
    <cellStyle name="Normal 4 2 2 2" xfId="1055"/>
    <cellStyle name="Normal 4 2 2 3" xfId="10218"/>
    <cellStyle name="Normal 4 2 3" xfId="1056"/>
    <cellStyle name="Normal 4 2 3 2" xfId="10219"/>
    <cellStyle name="Normal 4 2 3 3" xfId="10220"/>
    <cellStyle name="Normal 4 2 4" xfId="10221"/>
    <cellStyle name="Normal 4 2 5" xfId="10222"/>
    <cellStyle name="Normal 5" xfId="1057"/>
    <cellStyle name="Normal 5 2" xfId="1058"/>
    <cellStyle name="Normal 6" xfId="1059"/>
    <cellStyle name="Normal 7" xfId="1060"/>
    <cellStyle name="Normal 7 2" xfId="1061"/>
    <cellStyle name="Normal 7 2 2" xfId="1062"/>
    <cellStyle name="Normal 7 2 3" xfId="10223"/>
    <cellStyle name="Normal 7 3" xfId="1063"/>
    <cellStyle name="Normal 7 3 2" xfId="10224"/>
    <cellStyle name="Normal 7 3 3" xfId="10225"/>
    <cellStyle name="Normal 7 4" xfId="10226"/>
    <cellStyle name="Normal 7 5" xfId="10227"/>
    <cellStyle name="Normal 8" xfId="1064"/>
    <cellStyle name="Normal 8 2" xfId="10229"/>
    <cellStyle name="Normal 8 2 2" xfId="10230"/>
    <cellStyle name="Normal 8 2 3" xfId="10231"/>
    <cellStyle name="Normal 8 3" xfId="10232"/>
    <cellStyle name="Normal 8 3 2" xfId="10233"/>
    <cellStyle name="Normal 8 3 3" xfId="10234"/>
    <cellStyle name="Normal 8 4" xfId="10235"/>
    <cellStyle name="Normal 8 5" xfId="10236"/>
    <cellStyle name="Normal 8 6" xfId="10228"/>
    <cellStyle name="Normal 9" xfId="1065"/>
    <cellStyle name="Normal 9 2" xfId="1066"/>
    <cellStyle name="Normal 9 2 2" xfId="1067"/>
    <cellStyle name="Normal 9 2 3" xfId="10237"/>
    <cellStyle name="Normal 9 3" xfId="1068"/>
    <cellStyle name="Normal 9 3 2" xfId="10238"/>
    <cellStyle name="Normal 9 3 3" xfId="10239"/>
    <cellStyle name="Normal 9 4" xfId="10240"/>
    <cellStyle name="Normal 9 5" xfId="10241"/>
    <cellStyle name="Percent" xfId="10242"/>
    <cellStyle name="Pourcentage" xfId="1" builtinId="5"/>
    <cellStyle name="Pourcentage 2" xfId="1069"/>
    <cellStyle name="Pourcentage 2 10" xfId="10243"/>
    <cellStyle name="Pourcentage 2 11" xfId="10244"/>
    <cellStyle name="Pourcentage 2 12" xfId="10245"/>
    <cellStyle name="Pourcentage 2 13" xfId="10246"/>
    <cellStyle name="Pourcentage 2 14" xfId="10247"/>
    <cellStyle name="Pourcentage 2 15" xfId="10248"/>
    <cellStyle name="Pourcentage 2 16" xfId="10249"/>
    <cellStyle name="Pourcentage 2 17" xfId="10250"/>
    <cellStyle name="Pourcentage 2 2" xfId="1070"/>
    <cellStyle name="Pourcentage 2 2 10" xfId="10252"/>
    <cellStyle name="Pourcentage 2 2 11" xfId="10253"/>
    <cellStyle name="Pourcentage 2 2 12" xfId="10254"/>
    <cellStyle name="Pourcentage 2 2 13" xfId="10255"/>
    <cellStyle name="Pourcentage 2 2 14" xfId="10256"/>
    <cellStyle name="Pourcentage 2 2 15" xfId="10257"/>
    <cellStyle name="Pourcentage 2 2 16" xfId="10258"/>
    <cellStyle name="Pourcentage 2 2 17" xfId="10259"/>
    <cellStyle name="Pourcentage 2 2 18" xfId="10260"/>
    <cellStyle name="Pourcentage 2 2 18 10" xfId="10261"/>
    <cellStyle name="Pourcentage 2 2 18 11" xfId="10262"/>
    <cellStyle name="Pourcentage 2 2 18 12" xfId="10263"/>
    <cellStyle name="Pourcentage 2 2 18 2" xfId="10264"/>
    <cellStyle name="Pourcentage 2 2 18 3" xfId="10265"/>
    <cellStyle name="Pourcentage 2 2 18 4" xfId="10266"/>
    <cellStyle name="Pourcentage 2 2 18 5" xfId="10267"/>
    <cellStyle name="Pourcentage 2 2 18 6" xfId="10268"/>
    <cellStyle name="Pourcentage 2 2 18 7" xfId="10269"/>
    <cellStyle name="Pourcentage 2 2 18 8" xfId="10270"/>
    <cellStyle name="Pourcentage 2 2 18 9" xfId="10271"/>
    <cellStyle name="Pourcentage 2 2 19" xfId="10272"/>
    <cellStyle name="Pourcentage 2 2 2" xfId="1071"/>
    <cellStyle name="Pourcentage 2 2 2 10" xfId="10273"/>
    <cellStyle name="Pourcentage 2 2 2 11" xfId="10274"/>
    <cellStyle name="Pourcentage 2 2 2 12" xfId="10275"/>
    <cellStyle name="Pourcentage 2 2 2 13" xfId="10276"/>
    <cellStyle name="Pourcentage 2 2 2 13 10" xfId="10277"/>
    <cellStyle name="Pourcentage 2 2 2 13 11" xfId="10278"/>
    <cellStyle name="Pourcentage 2 2 2 13 12" xfId="10279"/>
    <cellStyle name="Pourcentage 2 2 2 13 2" xfId="10280"/>
    <cellStyle name="Pourcentage 2 2 2 13 3" xfId="10281"/>
    <cellStyle name="Pourcentage 2 2 2 13 4" xfId="10282"/>
    <cellStyle name="Pourcentage 2 2 2 13 5" xfId="10283"/>
    <cellStyle name="Pourcentage 2 2 2 13 6" xfId="10284"/>
    <cellStyle name="Pourcentage 2 2 2 13 7" xfId="10285"/>
    <cellStyle name="Pourcentage 2 2 2 13 8" xfId="10286"/>
    <cellStyle name="Pourcentage 2 2 2 13 9" xfId="10287"/>
    <cellStyle name="Pourcentage 2 2 2 14" xfId="10288"/>
    <cellStyle name="Pourcentage 2 2 2 15" xfId="10289"/>
    <cellStyle name="Pourcentage 2 2 2 16" xfId="10290"/>
    <cellStyle name="Pourcentage 2 2 2 17" xfId="10291"/>
    <cellStyle name="Pourcentage 2 2 2 18" xfId="10292"/>
    <cellStyle name="Pourcentage 2 2 2 19" xfId="10293"/>
    <cellStyle name="Pourcentage 2 2 2 2" xfId="10294"/>
    <cellStyle name="Pourcentage 2 2 2 2 10" xfId="10295"/>
    <cellStyle name="Pourcentage 2 2 2 2 11" xfId="10296"/>
    <cellStyle name="Pourcentage 2 2 2 2 12" xfId="10297"/>
    <cellStyle name="Pourcentage 2 2 2 2 12 10" xfId="10298"/>
    <cellStyle name="Pourcentage 2 2 2 2 12 11" xfId="10299"/>
    <cellStyle name="Pourcentage 2 2 2 2 12 12" xfId="10300"/>
    <cellStyle name="Pourcentage 2 2 2 2 12 2" xfId="10301"/>
    <cellStyle name="Pourcentage 2 2 2 2 12 3" xfId="10302"/>
    <cellStyle name="Pourcentage 2 2 2 2 12 4" xfId="10303"/>
    <cellStyle name="Pourcentage 2 2 2 2 12 5" xfId="10304"/>
    <cellStyle name="Pourcentage 2 2 2 2 12 6" xfId="10305"/>
    <cellStyle name="Pourcentage 2 2 2 2 12 7" xfId="10306"/>
    <cellStyle name="Pourcentage 2 2 2 2 12 8" xfId="10307"/>
    <cellStyle name="Pourcentage 2 2 2 2 12 9" xfId="10308"/>
    <cellStyle name="Pourcentage 2 2 2 2 13" xfId="10309"/>
    <cellStyle name="Pourcentage 2 2 2 2 14" xfId="10310"/>
    <cellStyle name="Pourcentage 2 2 2 2 15" xfId="10311"/>
    <cellStyle name="Pourcentage 2 2 2 2 16" xfId="10312"/>
    <cellStyle name="Pourcentage 2 2 2 2 17" xfId="10313"/>
    <cellStyle name="Pourcentage 2 2 2 2 18" xfId="10314"/>
    <cellStyle name="Pourcentage 2 2 2 2 19" xfId="10315"/>
    <cellStyle name="Pourcentage 2 2 2 2 2" xfId="10316"/>
    <cellStyle name="Pourcentage 2 2 2 2 2 10" xfId="10317"/>
    <cellStyle name="Pourcentage 2 2 2 2 2 11" xfId="10318"/>
    <cellStyle name="Pourcentage 2 2 2 2 2 12" xfId="10319"/>
    <cellStyle name="Pourcentage 2 2 2 2 2 13" xfId="10320"/>
    <cellStyle name="Pourcentage 2 2 2 2 2 2" xfId="10321"/>
    <cellStyle name="Pourcentage 2 2 2 2 2 2 10" xfId="10322"/>
    <cellStyle name="Pourcentage 2 2 2 2 2 2 11" xfId="10323"/>
    <cellStyle name="Pourcentage 2 2 2 2 2 2 12" xfId="10324"/>
    <cellStyle name="Pourcentage 2 2 2 2 2 2 2" xfId="10325"/>
    <cellStyle name="Pourcentage 2 2 2 2 2 2 3" xfId="10326"/>
    <cellStyle name="Pourcentage 2 2 2 2 2 2 4" xfId="10327"/>
    <cellStyle name="Pourcentage 2 2 2 2 2 2 5" xfId="10328"/>
    <cellStyle name="Pourcentage 2 2 2 2 2 2 6" xfId="10329"/>
    <cellStyle name="Pourcentage 2 2 2 2 2 2 7" xfId="10330"/>
    <cellStyle name="Pourcentage 2 2 2 2 2 2 8" xfId="10331"/>
    <cellStyle name="Pourcentage 2 2 2 2 2 2 9" xfId="10332"/>
    <cellStyle name="Pourcentage 2 2 2 2 2 3" xfId="10333"/>
    <cellStyle name="Pourcentage 2 2 2 2 2 4" xfId="10334"/>
    <cellStyle name="Pourcentage 2 2 2 2 2 5" xfId="10335"/>
    <cellStyle name="Pourcentage 2 2 2 2 2 6" xfId="10336"/>
    <cellStyle name="Pourcentage 2 2 2 2 2 7" xfId="10337"/>
    <cellStyle name="Pourcentage 2 2 2 2 2 8" xfId="10338"/>
    <cellStyle name="Pourcentage 2 2 2 2 2 9" xfId="10339"/>
    <cellStyle name="Pourcentage 2 2 2 2 20" xfId="10340"/>
    <cellStyle name="Pourcentage 2 2 2 2 21" xfId="10341"/>
    <cellStyle name="Pourcentage 2 2 2 2 22" xfId="10342"/>
    <cellStyle name="Pourcentage 2 2 2 2 3" xfId="10343"/>
    <cellStyle name="Pourcentage 2 2 2 2 4" xfId="10344"/>
    <cellStyle name="Pourcentage 2 2 2 2 5" xfId="10345"/>
    <cellStyle name="Pourcentage 2 2 2 2 6" xfId="10346"/>
    <cellStyle name="Pourcentage 2 2 2 2 7" xfId="10347"/>
    <cellStyle name="Pourcentage 2 2 2 2 8" xfId="10348"/>
    <cellStyle name="Pourcentage 2 2 2 2 9" xfId="10349"/>
    <cellStyle name="Pourcentage 2 2 2 20" xfId="10350"/>
    <cellStyle name="Pourcentage 2 2 2 21" xfId="10351"/>
    <cellStyle name="Pourcentage 2 2 2 22" xfId="10352"/>
    <cellStyle name="Pourcentage 2 2 2 23" xfId="10353"/>
    <cellStyle name="Pourcentage 2 2 2 3" xfId="10354"/>
    <cellStyle name="Pourcentage 2 2 2 4" xfId="10355"/>
    <cellStyle name="Pourcentage 2 2 2 4 10" xfId="10356"/>
    <cellStyle name="Pourcentage 2 2 2 4 11" xfId="10357"/>
    <cellStyle name="Pourcentage 2 2 2 4 12" xfId="10358"/>
    <cellStyle name="Pourcentage 2 2 2 4 13" xfId="10359"/>
    <cellStyle name="Pourcentage 2 2 2 4 2" xfId="10360"/>
    <cellStyle name="Pourcentage 2 2 2 4 2 10" xfId="10361"/>
    <cellStyle name="Pourcentage 2 2 2 4 2 11" xfId="10362"/>
    <cellStyle name="Pourcentage 2 2 2 4 2 12" xfId="10363"/>
    <cellStyle name="Pourcentage 2 2 2 4 2 2" xfId="10364"/>
    <cellStyle name="Pourcentage 2 2 2 4 2 3" xfId="10365"/>
    <cellStyle name="Pourcentage 2 2 2 4 2 4" xfId="10366"/>
    <cellStyle name="Pourcentage 2 2 2 4 2 5" xfId="10367"/>
    <cellStyle name="Pourcentage 2 2 2 4 2 6" xfId="10368"/>
    <cellStyle name="Pourcentage 2 2 2 4 2 7" xfId="10369"/>
    <cellStyle name="Pourcentage 2 2 2 4 2 8" xfId="10370"/>
    <cellStyle name="Pourcentage 2 2 2 4 2 9" xfId="10371"/>
    <cellStyle name="Pourcentage 2 2 2 4 3" xfId="10372"/>
    <cellStyle name="Pourcentage 2 2 2 4 4" xfId="10373"/>
    <cellStyle name="Pourcentage 2 2 2 4 5" xfId="10374"/>
    <cellStyle name="Pourcentage 2 2 2 4 6" xfId="10375"/>
    <cellStyle name="Pourcentage 2 2 2 4 7" xfId="10376"/>
    <cellStyle name="Pourcentage 2 2 2 4 8" xfId="10377"/>
    <cellStyle name="Pourcentage 2 2 2 4 9" xfId="10378"/>
    <cellStyle name="Pourcentage 2 2 2 5" xfId="10379"/>
    <cellStyle name="Pourcentage 2 2 2 6" xfId="10380"/>
    <cellStyle name="Pourcentage 2 2 2 7" xfId="10381"/>
    <cellStyle name="Pourcentage 2 2 2 8" xfId="10382"/>
    <cellStyle name="Pourcentage 2 2 2 9" xfId="10383"/>
    <cellStyle name="Pourcentage 2 2 20" xfId="10384"/>
    <cellStyle name="Pourcentage 2 2 21" xfId="10385"/>
    <cellStyle name="Pourcentage 2 2 22" xfId="10386"/>
    <cellStyle name="Pourcentage 2 2 23" xfId="10387"/>
    <cellStyle name="Pourcentage 2 2 24" xfId="10388"/>
    <cellStyle name="Pourcentage 2 2 25" xfId="10389"/>
    <cellStyle name="Pourcentage 2 2 26" xfId="10390"/>
    <cellStyle name="Pourcentage 2 2 27" xfId="10391"/>
    <cellStyle name="Pourcentage 2 2 28" xfId="10392"/>
    <cellStyle name="Pourcentage 2 2 29" xfId="10251"/>
    <cellStyle name="Pourcentage 2 2 3" xfId="10393"/>
    <cellStyle name="Pourcentage 2 2 3 10" xfId="10394"/>
    <cellStyle name="Pourcentage 2 2 3 11" xfId="10395"/>
    <cellStyle name="Pourcentage 2 2 3 12" xfId="10396"/>
    <cellStyle name="Pourcentage 2 2 3 12 10" xfId="10397"/>
    <cellStyle name="Pourcentage 2 2 3 12 11" xfId="10398"/>
    <cellStyle name="Pourcentage 2 2 3 12 12" xfId="10399"/>
    <cellStyle name="Pourcentage 2 2 3 12 2" xfId="10400"/>
    <cellStyle name="Pourcentage 2 2 3 12 3" xfId="10401"/>
    <cellStyle name="Pourcentage 2 2 3 12 4" xfId="10402"/>
    <cellStyle name="Pourcentage 2 2 3 12 5" xfId="10403"/>
    <cellStyle name="Pourcentage 2 2 3 12 6" xfId="10404"/>
    <cellStyle name="Pourcentage 2 2 3 12 7" xfId="10405"/>
    <cellStyle name="Pourcentage 2 2 3 12 8" xfId="10406"/>
    <cellStyle name="Pourcentage 2 2 3 12 9" xfId="10407"/>
    <cellStyle name="Pourcentage 2 2 3 13" xfId="10408"/>
    <cellStyle name="Pourcentage 2 2 3 14" xfId="10409"/>
    <cellStyle name="Pourcentage 2 2 3 15" xfId="10410"/>
    <cellStyle name="Pourcentage 2 2 3 16" xfId="10411"/>
    <cellStyle name="Pourcentage 2 2 3 17" xfId="10412"/>
    <cellStyle name="Pourcentage 2 2 3 18" xfId="10413"/>
    <cellStyle name="Pourcentage 2 2 3 19" xfId="10414"/>
    <cellStyle name="Pourcentage 2 2 3 2" xfId="10415"/>
    <cellStyle name="Pourcentage 2 2 3 2 10" xfId="10416"/>
    <cellStyle name="Pourcentage 2 2 3 2 11" xfId="10417"/>
    <cellStyle name="Pourcentage 2 2 3 2 12" xfId="10418"/>
    <cellStyle name="Pourcentage 2 2 3 2 13" xfId="10419"/>
    <cellStyle name="Pourcentage 2 2 3 2 2" xfId="10420"/>
    <cellStyle name="Pourcentage 2 2 3 2 2 10" xfId="10421"/>
    <cellStyle name="Pourcentage 2 2 3 2 2 11" xfId="10422"/>
    <cellStyle name="Pourcentage 2 2 3 2 2 12" xfId="10423"/>
    <cellStyle name="Pourcentage 2 2 3 2 2 2" xfId="10424"/>
    <cellStyle name="Pourcentage 2 2 3 2 2 3" xfId="10425"/>
    <cellStyle name="Pourcentage 2 2 3 2 2 4" xfId="10426"/>
    <cellStyle name="Pourcentage 2 2 3 2 2 5" xfId="10427"/>
    <cellStyle name="Pourcentage 2 2 3 2 2 6" xfId="10428"/>
    <cellStyle name="Pourcentage 2 2 3 2 2 7" xfId="10429"/>
    <cellStyle name="Pourcentage 2 2 3 2 2 8" xfId="10430"/>
    <cellStyle name="Pourcentage 2 2 3 2 2 9" xfId="10431"/>
    <cellStyle name="Pourcentage 2 2 3 2 3" xfId="10432"/>
    <cellStyle name="Pourcentage 2 2 3 2 4" xfId="10433"/>
    <cellStyle name="Pourcentage 2 2 3 2 5" xfId="10434"/>
    <cellStyle name="Pourcentage 2 2 3 2 6" xfId="10435"/>
    <cellStyle name="Pourcentage 2 2 3 2 7" xfId="10436"/>
    <cellStyle name="Pourcentage 2 2 3 2 8" xfId="10437"/>
    <cellStyle name="Pourcentage 2 2 3 2 9" xfId="10438"/>
    <cellStyle name="Pourcentage 2 2 3 20" xfId="10439"/>
    <cellStyle name="Pourcentage 2 2 3 21" xfId="10440"/>
    <cellStyle name="Pourcentage 2 2 3 22" xfId="10441"/>
    <cellStyle name="Pourcentage 2 2 3 3" xfId="10442"/>
    <cellStyle name="Pourcentage 2 2 3 4" xfId="10443"/>
    <cellStyle name="Pourcentage 2 2 3 5" xfId="10444"/>
    <cellStyle name="Pourcentage 2 2 3 6" xfId="10445"/>
    <cellStyle name="Pourcentage 2 2 3 7" xfId="10446"/>
    <cellStyle name="Pourcentage 2 2 3 8" xfId="10447"/>
    <cellStyle name="Pourcentage 2 2 3 9" xfId="10448"/>
    <cellStyle name="Pourcentage 2 2 4" xfId="10449"/>
    <cellStyle name="Pourcentage 2 2 4 10" xfId="10450"/>
    <cellStyle name="Pourcentage 2 2 4 11" xfId="10451"/>
    <cellStyle name="Pourcentage 2 2 4 12" xfId="10452"/>
    <cellStyle name="Pourcentage 2 2 4 13" xfId="10453"/>
    <cellStyle name="Pourcentage 2 2 4 2" xfId="10454"/>
    <cellStyle name="Pourcentage 2 2 4 2 10" xfId="10455"/>
    <cellStyle name="Pourcentage 2 2 4 2 11" xfId="10456"/>
    <cellStyle name="Pourcentage 2 2 4 2 12" xfId="10457"/>
    <cellStyle name="Pourcentage 2 2 4 2 2" xfId="10458"/>
    <cellStyle name="Pourcentage 2 2 4 2 3" xfId="10459"/>
    <cellStyle name="Pourcentage 2 2 4 2 4" xfId="10460"/>
    <cellStyle name="Pourcentage 2 2 4 2 5" xfId="10461"/>
    <cellStyle name="Pourcentage 2 2 4 2 6" xfId="10462"/>
    <cellStyle name="Pourcentage 2 2 4 2 7" xfId="10463"/>
    <cellStyle name="Pourcentage 2 2 4 2 8" xfId="10464"/>
    <cellStyle name="Pourcentage 2 2 4 2 9" xfId="10465"/>
    <cellStyle name="Pourcentage 2 2 4 3" xfId="10466"/>
    <cellStyle name="Pourcentage 2 2 4 4" xfId="10467"/>
    <cellStyle name="Pourcentage 2 2 4 5" xfId="10468"/>
    <cellStyle name="Pourcentage 2 2 4 6" xfId="10469"/>
    <cellStyle name="Pourcentage 2 2 4 7" xfId="10470"/>
    <cellStyle name="Pourcentage 2 2 4 8" xfId="10471"/>
    <cellStyle name="Pourcentage 2 2 4 9" xfId="10472"/>
    <cellStyle name="Pourcentage 2 2 5" xfId="10473"/>
    <cellStyle name="Pourcentage 2 2 6" xfId="10474"/>
    <cellStyle name="Pourcentage 2 2 7" xfId="10475"/>
    <cellStyle name="Pourcentage 2 2 8" xfId="10476"/>
    <cellStyle name="Pourcentage 2 2 9" xfId="10477"/>
    <cellStyle name="Pourcentage 2 3" xfId="10478"/>
    <cellStyle name="Pourcentage 2 4" xfId="10479"/>
    <cellStyle name="Pourcentage 2 5" xfId="10480"/>
    <cellStyle name="Pourcentage 2 6" xfId="10481"/>
    <cellStyle name="Pourcentage 2 7" xfId="10482"/>
    <cellStyle name="Pourcentage 2 8" xfId="10483"/>
    <cellStyle name="Pourcentage 2 9" xfId="10484"/>
    <cellStyle name="Pourcentage 2_situation créance année 2012" xfId="1072"/>
    <cellStyle name="Pourcentage 3" xfId="1073"/>
    <cellStyle name="Pourcentage 4" xfId="1074"/>
    <cellStyle name="Pourcentage 4 2" xfId="1075"/>
    <cellStyle name="Pourcentage 5" xfId="1076"/>
    <cellStyle name="Pourcentage 6" xfId="1077"/>
    <cellStyle name="Pourcentage 6 2" xfId="1078"/>
    <cellStyle name="Pourcentage 7" xfId="1079"/>
    <cellStyle name="Pourcentage 7 2" xfId="1080"/>
    <cellStyle name="Pourcentage 8" xfId="1081"/>
    <cellStyle name="Satisfaisant 2" xfId="1082"/>
    <cellStyle name="Sortie 2" xfId="1083"/>
    <cellStyle name="Style 1" xfId="1084"/>
    <cellStyle name="Texte explicatif 2" xfId="1085"/>
    <cellStyle name="Titre 1 2" xfId="1086"/>
    <cellStyle name="Titre 2 2" xfId="1087"/>
    <cellStyle name="Titre 3 2" xfId="1088"/>
    <cellStyle name="Titre 4 2" xfId="1089"/>
    <cellStyle name="Titre 4 3" xfId="1090"/>
    <cellStyle name="Total 2" xfId="1091"/>
    <cellStyle name="Vérification 2" xfId="1092"/>
    <cellStyle name="Währung" xfId="1093"/>
    <cellStyle name="Währung 2" xfId="10485"/>
    <cellStyle name="Währung 3" xfId="10486"/>
    <cellStyle name="Währung 4" xfId="10487"/>
    <cellStyle name="Währung 5" xfId="10488"/>
  </cellStyles>
  <dxfs count="12"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B050"/>
        </left>
        <right style="hair">
          <color rgb="FF00B050"/>
        </right>
      </border>
    </dxf>
    <dxf>
      <font>
        <strike val="0"/>
        <outline val="0"/>
        <shadow val="0"/>
        <u val="none"/>
        <vertAlign val="baseline"/>
        <sz val="14"/>
        <name val="Calibri"/>
        <scheme val="minor"/>
      </font>
      <border diagonalUp="0" diagonalDown="0" outline="0">
        <left style="thin">
          <color rgb="FF00B050"/>
        </left>
        <right style="hair">
          <color rgb="FF00B050"/>
        </right>
      </border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rgb="FF00B050"/>
        </right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border>
        <bottom style="medium">
          <color rgb="FF00B050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D0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185854</xdr:colOff>
      <xdr:row>1</xdr:row>
      <xdr:rowOff>81311</xdr:rowOff>
    </xdr:from>
    <xdr:to>
      <xdr:col>1</xdr:col>
      <xdr:colOff>2567104</xdr:colOff>
      <xdr:row>4</xdr:row>
      <xdr:rowOff>127775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95E720A6-1D56-40B3-B4CE-2B66E92B740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13628"/>
          <a:ext cx="2381250" cy="74341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8</xdr:col>
      <xdr:colOff>23231</xdr:colOff>
      <xdr:row>2</xdr:row>
      <xdr:rowOff>211347</xdr:rowOff>
    </xdr:from>
    <xdr:to>
      <xdr:col>8</xdr:col>
      <xdr:colOff>1131384</xdr:colOff>
      <xdr:row>4</xdr:row>
      <xdr:rowOff>162622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xmlns="" id="{EE1E354F-1A95-4521-89B9-4C699C72E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583079" y="675981"/>
          <a:ext cx="1080274" cy="41590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813109</xdr:colOff>
      <xdr:row>5</xdr:row>
      <xdr:rowOff>116159</xdr:rowOff>
    </xdr:from>
    <xdr:to>
      <xdr:col>8</xdr:col>
      <xdr:colOff>755030</xdr:colOff>
      <xdr:row>8</xdr:row>
      <xdr:rowOff>303007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CD338303-FAC1-4DEF-892E-ED049F753BCC}"/>
            </a:ext>
          </a:extLst>
        </xdr:cNvPr>
        <xdr:cNvSpPr/>
      </xdr:nvSpPr>
      <xdr:spPr>
        <a:xfrm>
          <a:off x="4309481" y="1277744"/>
          <a:ext cx="6005397" cy="119742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263448</xdr:colOff>
      <xdr:row>1</xdr:row>
      <xdr:rowOff>59871</xdr:rowOff>
    </xdr:from>
    <xdr:to>
      <xdr:col>1</xdr:col>
      <xdr:colOff>2114550</xdr:colOff>
      <xdr:row>4</xdr:row>
      <xdr:rowOff>109886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7D4C02A7-73A2-4AAE-B1CF-14A5D15A17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448" y="250371"/>
          <a:ext cx="1851102" cy="6310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725294</xdr:colOff>
      <xdr:row>2</xdr:row>
      <xdr:rowOff>135612</xdr:rowOff>
    </xdr:from>
    <xdr:to>
      <xdr:col>8</xdr:col>
      <xdr:colOff>482290</xdr:colOff>
      <xdr:row>4</xdr:row>
      <xdr:rowOff>157279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2CFF786F-1793-4DEA-B1F4-37D877FE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021569" y="516612"/>
          <a:ext cx="823796" cy="41219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3</xdr:col>
      <xdr:colOff>9525</xdr:colOff>
      <xdr:row>4</xdr:row>
      <xdr:rowOff>180974</xdr:rowOff>
    </xdr:from>
    <xdr:to>
      <xdr:col>8</xdr:col>
      <xdr:colOff>920905</xdr:colOff>
      <xdr:row>11</xdr:row>
      <xdr:rowOff>114299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221D7EC1-34E9-47C6-ABA7-6F645F44B71A}"/>
            </a:ext>
          </a:extLst>
        </xdr:cNvPr>
        <xdr:cNvSpPr/>
      </xdr:nvSpPr>
      <xdr:spPr>
        <a:xfrm>
          <a:off x="3600450" y="942974"/>
          <a:ext cx="5340505" cy="12668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250031</xdr:colOff>
      <xdr:row>1</xdr:row>
      <xdr:rowOff>95249</xdr:rowOff>
    </xdr:from>
    <xdr:to>
      <xdr:col>1</xdr:col>
      <xdr:colOff>2357437</xdr:colOff>
      <xdr:row>4</xdr:row>
      <xdr:rowOff>119063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E2EDCCDA-2C3A-41A8-A191-8212DEC4B2C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031" y="309562"/>
          <a:ext cx="2107406" cy="91678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482407</xdr:colOff>
      <xdr:row>3</xdr:row>
      <xdr:rowOff>87987</xdr:rowOff>
    </xdr:from>
    <xdr:to>
      <xdr:col>8</xdr:col>
      <xdr:colOff>544203</xdr:colOff>
      <xdr:row>4</xdr:row>
      <xdr:rowOff>104892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75AC0B3A-274F-4E7B-A53E-E54E6919F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876438" y="790456"/>
          <a:ext cx="823796" cy="42171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1178719</xdr:colOff>
      <xdr:row>5</xdr:row>
      <xdr:rowOff>23813</xdr:rowOff>
    </xdr:from>
    <xdr:to>
      <xdr:col>8</xdr:col>
      <xdr:colOff>978055</xdr:colOff>
      <xdr:row>12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7219A947-7732-400F-9EBB-1350936CC529}"/>
            </a:ext>
          </a:extLst>
        </xdr:cNvPr>
        <xdr:cNvSpPr/>
      </xdr:nvSpPr>
      <xdr:spPr>
        <a:xfrm>
          <a:off x="4548188" y="1095376"/>
          <a:ext cx="5645305" cy="126206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157502</xdr:rowOff>
    </xdr:from>
    <xdr:to>
      <xdr:col>1</xdr:col>
      <xdr:colOff>1609725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262058FA-F958-4F62-A081-240BFD1C906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48002"/>
          <a:ext cx="1485900" cy="7187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1192019</xdr:colOff>
      <xdr:row>3</xdr:row>
      <xdr:rowOff>126087</xdr:rowOff>
    </xdr:from>
    <xdr:to>
      <xdr:col>6</xdr:col>
      <xdr:colOff>2015815</xdr:colOff>
      <xdr:row>4</xdr:row>
      <xdr:rowOff>223954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8A22690C-3C85-409E-A200-B6F916CB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659619" y="697587"/>
          <a:ext cx="823796" cy="41219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3</xdr:col>
      <xdr:colOff>733425</xdr:colOff>
      <xdr:row>4</xdr:row>
      <xdr:rowOff>180975</xdr:rowOff>
    </xdr:from>
    <xdr:to>
      <xdr:col>8</xdr:col>
      <xdr:colOff>882805</xdr:colOff>
      <xdr:row>12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E40FC26C-AA3D-4203-A5C9-CC88EE623E06}"/>
            </a:ext>
          </a:extLst>
        </xdr:cNvPr>
        <xdr:cNvSpPr/>
      </xdr:nvSpPr>
      <xdr:spPr>
        <a:xfrm>
          <a:off x="4333875" y="1066800"/>
          <a:ext cx="7483630" cy="15335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4</xdr:col>
      <xdr:colOff>401410</xdr:colOff>
      <xdr:row>37</xdr:row>
      <xdr:rowOff>180975</xdr:rowOff>
    </xdr:to>
    <xdr:sp macro="" textlink="">
      <xdr:nvSpPr>
        <xdr:cNvPr id="2" name="AutoShape 2" descr="data:image/png;base64,iVBORw0KGgoAAAANSUhEUgAAAfoAAABPCAYAAAADZQc7AAAXC0lEQVR4nO1d3dWrIBD8yrIcSrIUy7EU37gPXhX2H2OiITPn8JCosMCyAwu6fxkABPz9/SEhISEh9ZDuJhTgmdgUBAAAAPhegOgBFSB6AACA7weIHlABogcAAPh+gOgBFSB6AHgf5nE49k/TdLc4l2Ot35DHeblblJ8HiB5QAaJfURlkIaXp/YZsmVK3hLDMYx5uJoR3yeD126f71dPlNdntMKW//DeMeV70e5ZlzuMQPCQ2jHlMsfvKMve2E9Iwzpe227cDRA+oANEfWImAG5spfYageiX6gxDuI/p3yvA0os+50OW/lCdC1lNBuNIE9njWnuCu9RryMBxtuixTTqTcZUr5L03VOLLuW68fkwhJhk+NyW8CiB5QAaI/oBE98Bp6J3q37IcRfc7lqp9frzwCxljYVv2jR+DzmIcI0f+/b8/7Q560XgCiB1SA6A9IRD+PQ2VsytXQME6V65IapXJlRK+X+fz9pTwae7nMfflfPu1/+bnVyNaruc3YatcXQ47DaNttIrl3bXIZxpnkWbtoD5KQZeXtknIyXMxeeVJ/TYV+SP0mupwdovf6y9O3Ki+H6Ms2rNpumXL6S3nan5cnRtvzet/I5Ubuw4T7HED0gAoQ/QFKzJpBPYz7agT339TtuBHyMuexcG+Wk4fdkKeJ5VPKtN2/LFNOw5hn7f+9vMOIUqNKV3MlWaVpYStQLz+vTaKraSbHXo6wEtzrWt+jtpcgQ6Q8q7+Y3NVqVJgIaa79cH/J+ibnaROu5hqfx2Enb0vuVQaBpK8g+k63sN4NED2gAkR/ILKi3/4rV370uc1QlasdbU+xNGqSgTtWefXz2v+VPEU+pSt0k38nQ0rstD5Ofn6btBF93W71Kltqo1IWtb0MorfKs/pL+k/SIXcPP9hfmr6JebpEz1f0dEK6KKv6vS2F+oDo7wOIHlABoj8QdRl6hlciEIraFWwQvXiyecjjrP0vuPSJd6KZ6J38/DY5T/RUVuueYZwD7WUTPS3P6q+9j6KTNe+wntNfTUTvue6F65YclpepyvdK172TB1ADRA+oANEf0AzoMiWVWKrn/htDy7VKjZhHEtWz5r5qsap1iCBM9ArxS7DaRHOJe3nkvBGsQEaC65ydKajahcsQKs/or72cq1b0Tn9p+mbmqZAl85SQ1TzPh2xFKLJeQfSSfIAPED2gAkR/wCJ6uo8pupOpq1swVIxUi9/iHj2ZZOzvgo/K//NSrWolQ6nKr63onfz8NmkjetqO8qRm288m+9tae8060ZvlGf3F5K4mNX/mvn6J0/11YkWvlbVMScyv8pAU9VO3NoKrcf+wYFGuIJe0pfbrANEDKkD0K7yPfzCjXRB57fL8TzjsYN9GwvzEuJiESUOVj/K/XZ+UU3LKLT0LIqH+sWuRNqneKnBf+bLv43WXVuC8XWYiwxgoz+yvYcwTzaM4KLnrTiraIkD2Vn9p+taiy/bbGUVbqvnIEzbpQz3WxMW7j8vm3//LANEDKkD0wFMQOdvwzeV9O6xDeMD9ANEDKkD0wFMAon82rEN4wP0A0QMqQPTAUwCifzboQUXgWQDRAypA9MATwPZt3+we/nR5APBugOgBFSB6AACA78d/Wx446YuEhISEhIT0rQmrNkAGdKM/lIMfADZAL/oFiB4wAd3oDzDogAToRb8A0QMmoBv9AQYdkAC96BcgesAEdKM/wKADEqAX/QJED5iAblyP6vWtG17d+maDXrZdj++436kb36wXrbh7DH4a3RE9fQdW+1IT/U51i9H4pZjId+oGC/9Zpovavgz4chUi+nGnDr3ToH9i/Hkfs7mjba/Uo7t04w6iN8f4lpzQ0Bta+8Br50/Yn0+hO6LPmQSvcMI7elGzxPxB9B8Di/4WiJYWzjsYC7053x8m+pzfP/6eRvRX69FvEf3RZlJ42mVKoXY40wdN4/QN9ueT6JfoU1LDX64KNeThDUa+N9ytG1J42Ks+T/ouog+V3TvRv3H8Pe3ztCD683CJfh7zcCfRv9H+fBIdE/2kxnpe41JPTDGksJPU9Sjt7bBwiUFX0zfgbt2IDDSv3+T+kUN/jmQPuHTflQO7dusdhsna+xPDanZL9O3jL+e2MTiMc9XeaVrs9qchYid/3Nf9P1U6kyYtRG95z3q9iu8e1VdTf66fnN5B9CUkopevR/rgyEMbq1cRvdWf9EyJZk/eja6J/hjYJZnPeRxSnsgMcO+s3UUzqSuSvfOKMiqjAaK/DHSgHYN6i4Vu95vVP9oqgJIHzXMeB04EhbEo9WPDet9RjkaCn8CniL5l/K3XYmOQGk9aDm3/vZ+rfo+Pe7rNoOa/25LCvTsM8qTCKI8SkKrzFweReTLRu+PcGMvaWD1D9K32Z5PBsiefQNdEn7PcucM488EpdPr2LF1RlPces+w+twDu1o1yoI37bNielZf9ZvWPR/TSCp7OwqXymaEWVgX9u+7bxt92LTIGrf6p+pwY9Pr++LhnKzjV+POJXERfaHmq/gRs0yt4NNF74zzgutf0Ikr0Z+xPzm325F3onujr2f62muCKIXWGthdTEb3oNuqH9O/WDYkkS3j9ZvVPC9Fv/0kuXZfoA5OBT+KTRB8dfzn7fWn9ZxG9tacayf8Vore2HbT/VP0R0q8QfXycc9urjdWzrvsWubx7ruw/C90Tfc50n23bV/FX9FpnqHtoxV7Npzrw3bhbN7yB1tRvpH881zAnkpSnnbj+ExZW9Axnxl/O8b40+0foE2krZZc1UKZK9LtrXXMjx2wHLS+iP+/Ak4neazdxC8QZq1cQ/Rn9ybnW10+gT6KfkmxUS5cLGYxUyeheTIlqj/6/K3Iv+w3vZd+Ju3WDvt7Crjv9ZvWPuwe8rdiKff6IseB7uHwC2PUe/Ynxt/4XG4OsfcmYk6//MWMbLVNdcbv7xdZk0y+P79G/19V7O9ETYq6ueeM8ctahYQK4l/ui/anKEezJp9Ad0dcf7CCNLxjecqVBT+WaJK+mfkg+56d9MEduW6vf+DX9YNf2HO/jkqC47uxpGPNEnyWDe/s/pXTc09FrVK+Mv5ztvizLqNpPOBHttb+88uNlUh0cxpm40jWd4XXbYJWnyu+cLL8CdxK91H4t7cbzSHmyxqowdimRX2F/5Lp9biW/oTuiB67FL+rGN74n24K7V27AMwG9eA+eYE9A9ICJX9SNJwzMdwIGHZAAvXgPnmBPQPSAiV/UjScMzHcCBh2QAL14D55gT3aiR0JCQkJCQuo2YQYHyIBu9Idy8APABuhFvwDRAyagG/0BBh2QAL3oFyB6wAR0oz/AoAMSoBf9AkQPmIBu9AcYdEAC9KJfPI7oaWQq4F48STeAawCDDkiAXvQLk+jVYAqNX/Jq/SzsE15HAFZg0PcHGHRAwlm9iHzN0Ly/jBNBv2ZHvljHvxCol+XlRWU5PsXcUga9t+Y5K6+IfFbbtcgrEn0oFnuQuCPhAylA9M/BWTJgk8TA5HDtd9tITKkeEK2DhX9+lQS8ULxJ3nW7Tvy71vXnNbVPLcc+lelFwqJt9m1Ez/tc+hys3PetUcLqQCmxcry+XGX29VTLR9NZs72Me7XrZ/ViC/mbsx8oZq2LHJdAje1etFUVvMgIOOPltbfBkHISIw9GyqCfdv7/OySvX1exz07KKxL9+qBOzPQj/RZA9N+NM2RAo5dtymeFCQ3NnqeUh2Fgg4NGRNP0ht6fsxxcZjNW+4yZ1odcV9tAqfOUZOPAvpMfXBlZ44S2Wc7fRfSS/DnnPI3OhC7QNpH7vXK0vqxXob6e6vkoOmsRgkc8yvUzerEscx5HYUWuEb1iG/6GMc//x5UafphFDdS5ZXHyquQvo5i2lCEEp5nHwj5ZeY0x+cT2PiEvI/pISERtxc8Cd0xaIAYebEALQ1kSgTTL3spgkaUE+YB2nCX6UVrBOhNDaxW7GQg+kHiQGpXop8TyX5aJGXi+6hjZM8nQrVUuox7iuJGC7RiTHqOM6h7SZjl/D9Fr8udsE3CkbaL3++X4fenpqfnMKOtsEgjBK9u7foVeSH1VyShGk1yJSg/nWkeOjJCjl9devhKuPFIGdaNvedFww1JewxCTj7XfSXk50Udi9LIQr/XMcP1NQzaS0KBKiMeyk7YKHA3Kw0BuDXZMKmjYws9HCuoJV5GBZwD2e8QQlXMe0/psRfSia0/vbyl/yWjO42AONuu661VQJhuSDLob2C5jv0dos5y/g+gt+ddrmwuz9n5E2oaVo9xvlZNzvC89PbXyWe1bkOgdebzrr+gF88wFz3GV3mMazpjyTJS8j7bQ8zrqX/NTSxlivY3wxlVeKSYfxVl5ryF6cVahEL2QPxUsIvw+M6LhLY18gXZcQQZ0pqtBI7d5TPUk0NivbXWnH3uy3PskGwS7rGOFVHutao+TYtSZXJ5XQC7Da7NvIHq/z4t94TIGeKBtSlhtaZaz2MTJ497remrmk5Khs3GiP8Lr6tev0AvpsJh6r7AFVhPnkIeTRO/lddT/NaLftkKscNdaXhH5WJtdRvR7R0VOM+qFtQhG/2sheuomkRKI/jyuIIN5HOKH8ej+JnH10XvK1fVxYMV2HZa6sRpS7ob3zqlo1+lKYpe50v/gil6ph1eG12ZPJ3pPfvGZbb802W0jldV0f7EvG+3LLU9NT718ojrr5eNdv0ovQi7owJtYdGJVHtxrKUvKi/9f81OkDHFLSSLyQF6afHo92uTlRB9wIdDMpcKO/OpJgbSipzNUneh1N0fkbAHQjlcH/TKlNjeedaKepGHgEwjpgIwFjUS8fLTrljH1VlVlXtaZBruM0W6zi1Zu74Lb595BS8PVrR8Gjd/f4grf/xPGQKk/0XwqmSWdvcF1X3peNniT5OgZCuop3rmDnWr3z2JJXuecDX4KlCGN0dJL0ZKXJh+rx0l5GdHXmemHHCqDXLhr3IYke+fSTIZOHOjsTyT6ct8ep/Uvwytk0ELyOTcc2CtWQpq+RYh+06shaUS/6qR0IEszVq6xVQ9E1c9YbfEqMTyZ6CVQ+c3+aGwbqy31CWD5KpPfl56eRvM5/re8DXo+3vUzekHbT9oe4zL6nldpQaie93JsjLUdzfkpXgabiIhn1fy8NPno9vQr8opEv4EfNNBX+rwD5cN1xz7aX/0fGRiHC46u8vheKWtoI2+gDWfJoJXkc24/mb8OkNpwRfLIeRswxaxYMCjVtpBxvc53rt6t3WWmg1955cmrRzWWlDKsNsv5S4mekEkSjF91MDjYNub9RjnVs05fenoazkd52+PYarDz8co5RfSOLaeo3+GnvFLa7+D3CNT39e28dM8RP69h2THvEKImry8fnTS8Jq9J9ABwRje0CaLmbREHv7L3RfNq/TDPIRtfhUiT1Mh1Cs8YWde9ttgMc8TgaW32LUSv9rnzJbAoGXj3R744FiYeR0+tfCSdZe20y3xe975FL34BkTMMLQDRAyagG8/BaqRf91DBoPeDq3QiZ+jFkzCla7egQfSACejGc1B+avQVwKD3g6t0ImfoRc8A0QMmoBv9AQYdkAC96Bc70SMhISEhISF1mzCDA2RAN/pDOfgBYAP0ol+A6AET0I3+AIMOSIBe9AsQPWACutEfYNABCdCLfgGiB0xAN/oDDDogAXrRL7okehrmFjiP3nQDgEEHZEAv+gUjeho6j318n34lrPEzp5+CFVEPiAODvj/AoAMSXtGLpvC07IuD9LvtJClxVdakfCrXiGZ6xFkhXwncPjd7ZRmBvKzYMl5b1/Fg9DzEFX0tnP4d3ieHfwXRX4OzZNDyaVptwEnQYnF710rUn1ZVBj39rCoNFWrolZeXJXO0nFfk/Tai9/v8lb7yycWTQ9InXk5MJ6T6RK5F6u7V9YxeHCF3U05FcBVVPhJboP6mu98X5QeCzGA1Bgmvn1GuAxeVv8eLyojIW/eJ//EjGpku2v460Q/DQfY0FN8y53G47otM7wCI/hqcnt2XymxEtKIhQTfFZ9G+rDyciFkl5CAfA3u+CjpC61OEovTqQ/OyZI6W45Xh5fMtRK/1K4+lQOIWBPtqgxQNLyJHzn7QmPV/u7+s+ljXRDmdult1fUUvaBQ19T4hvPMRdEgO2lOVMZYkaUeWkyMGlgGxpFDolIhfKCMg7zwO+S+NobY7ghcZwZnaiX6N3iSRvUT0UnSdNZqUtFor/ysGaTVDWvMvZ8tpKp+TrhPl+d+R5WCpIlzt/3FykWT5RZwl+lFa9ahhP+v2pWE9rfjV0djWWlmH90oPbTqPo3BNGXCBMKmazNFyvDK8fL6B6KP9Sle5LX21wSI/X/ckfSL/NYTOfWVFH6n7U4ie2uKDK+K21oxKOCXR87L9Jy0ENy6RJyHtZXjyHrrlt50VOnm9fobolymnbXVQEl41cy3jwytuECUGfV1JHpOe3k+jNzHiFlwi9EDeoWB8P2gYBqZ4miy/hqvIQBswkgJPqdATZYXvXZOgGVyP6KW6mIPZikffILNWjleGl8/Tib61jbytEWs1vyxzHtPm9qwXH54cUQJv6a9XXfdW3a265vwZoj/qIbW3FIpVC8tb3BM4J7YvXtmiknLQNll+vQxL3nqCEyD6nePGapHKQ7SfJPq6UcowkfbeA50d0d/lqm0nYeV5dR+THkQoZI7M2LbffPVo1+WXcAUZeGc6uIdFWiHVRuCYvMnXxHIMw0yfYzon7B+KrnvBzVvm5ckcKccrw8vn8UTf0K8yicb66ri3XLQUE32vrwx9kmyK1V9WfSLXInU363pyj56XG9xnThMhwHVlO02SV9XyqPi2WdtqpgfPh4Hn9WoZmrzDMAihhfXnD1np4pkuXM+47ovGrVfIU1UpiVTpfzUZ16EVrUMNnyD6qmMdWX4NV5DBug+lz4jLlcdxuIR6lOi+5ZDH0bgmKLu5skp1vw8pmfGg6aGYEuxAVJGXWR8hL60cqwxP3scTfUMbWa7VDVZfieVv+8jJlqNlpR7tL6s+kbq21r3cM/8E0Ut10BZSdJWt18+2zZ79qcvik4qryijzspI+odX57DzRi3uI8qt3luucrzCGnFLdKBJRS+W6RC+UzxtGdtVEZfk1vEoGy5TsE/fC9dL4WMZUmu1LK6qqrBYXqqED0qEiDWVeVn2sg4ZeOS3yPp3oW9pIO/tRoqWvqrIGW44WfRLrKMht1SdSV1YXp+6lvK8Rvb8q1eqw23Px0PeR5zwmlndsIuNP8o6JGL/3bBlReSNt53nNvTyaiL7MvCJ6so+tzY60xqz2ywOzmZYVfX2P5LYiRO/I8mt4hQw8ks+ZH7zLmexpW8Y0tRla/fAUyYPcJx1gih4WY3pnbR+ohxUdd22jvE8n+hYCpcTR2lfm/Y4cUX1i9TPI5xWi9+r+Tr2IEj097V6+qTCRVTG7l/SH9TZElbe3mi/45MoyonlpbVduLatnx5RzcRSM6OnBAclgirOS8oS+sNKqKiQ1ivgOZcrJc3XsnVOXO49D7Y5lbw3o7hJNFhzGiyNC8vt9koLvCswH0rEasq4JRC+8/lS+HrXew0/+0rpEvyMh5mXJHCiHurDPyPt4om/oV0p+rX21zGNO1djnByc1OSL6xOtmnyw/Q/TVVpZRd6uuOZ/TC/kAnU342kE3vm0qTcDjNtn6/kJt4zkZX1KGk5fWdhWxW7zF3mDT219c0QPAhjO6wU/VyhOqDd7HddiAkN5zVZ5lZSn30zc7qmfYgA3sQxpGQpMhUg4/yNQu79OJPme/X8W9zoG8EhzoKz6pd4xxg26W8HRCrc+ymNf2Z9Pk9rtX12/Qi19BdMshChA9YAK68RyUH+N4BTDo/eAqncgZevEkTOnarWMQPWACuvEclJ/TfAUw6P3gKp3IGXrRM3aiR0JCQkJCQuoz/QOkbUfDWXagcAAAAABJRU5ErkJggg==">
          <a:extLst>
            <a:ext uri="{FF2B5EF4-FFF2-40B4-BE49-F238E27FC236}">
              <a16:creationId xmlns:a16="http://schemas.microsoft.com/office/drawing/2014/main" xmlns="" id="{FBD4E0A6-D9AD-40C5-B84E-D12BA9EA67E8}"/>
            </a:ext>
          </a:extLst>
        </xdr:cNvPr>
        <xdr:cNvSpPr>
          <a:spLocks noChangeAspect="1" noChangeArrowheads="1"/>
        </xdr:cNvSpPr>
      </xdr:nvSpPr>
      <xdr:spPr bwMode="auto">
        <a:xfrm>
          <a:off x="0" y="9020175"/>
          <a:ext cx="481965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6</xdr:col>
      <xdr:colOff>1047749</xdr:colOff>
      <xdr:row>37</xdr:row>
      <xdr:rowOff>180975</xdr:rowOff>
    </xdr:to>
    <xdr:sp macro="" textlink="">
      <xdr:nvSpPr>
        <xdr:cNvPr id="3" name="AutoShape 3" descr="https://attachment.outlook.office.net/owa/mohamedd208@hotmail.fr/service.svc/s/GetFileAttachment?id=AQMkADAwATZiZmYAZC1hNzA1LTFiODEtMDACLTAwCgBGAAAD5w4W41g8ZEe0mty6jwg2%2FwcAWgnYrt3%2BMUKF3FpqNX6UyQAAAgEMAAAAWgnYrt3%2BMUKF3FpqNX6UyQABWCqZFQAAAAESABAAUL9S9WdR%2BEWCq6rRKUsY0Q%3D%3D&amp;X-OWA-CANARY=ZCAEXgbexEivCGGdTbOSKPDz6DN3RNUYLjAt5eFFY0LtW_UpIDFxSuLgpJT8befIYWkFbnAggUM.&amp;token=eyJ0eXAiOiJKV1QiLCJhbGciOiJSUzI1NiIsIng1dCI6ImVuaDlCSnJWUFU1aWpWMXFqWmpWLWZMMmJjbyJ9.eyJ2ZXIiOiJFeGNoYW5nZS5DYWxsYmFjay5WMSIsImFwcGN0eHNlbmRlciI6Ik93YURvd25sb2FkQDg0ZGY5ZTdmLWU5ZjYtNDBhZi1iNDM1LWFhYWFhYWFhYWFhYSIsImFwcGN0eCI6IntcIm1zZXhjaHByb3RcIjpcIm93YVwiLFwicHJpbWFyeXNpZFwiOlwiUy0xLTI4MjctNDQyMzY1LTI4MDIxMjk3OTNcIixcInB1aWRcIjpcIjE4OTk5NDYwMTAwMjQ4MzNcIixcIm9pZFwiOlwiMDAwNmJmZmQtYTcwNS0xYjgxLTAwMDAtMDAwMDAwMDAwMDAwXCIsXCJzY29wZVwiOlwiT3dhRG93bmxvYWRcIn0iLCJpc3MiOiIwMDAwMDAwMi0wMDAwLTBmZjEtY2UwMC0wMDAwMDAwMDAwMDBAODRkZjllN2YtZTlmNi00MGFmLWI0MzUtYWFhYWFhYWFhYWFhIiwiYXVkIjoiMDAwMDAwMDItMDAwMC0wZmYxLWNlMDAtMDAwMDAwMDAwMDAwL2F0dGFjaG1lbnQub3V0bG9vay5vZmZpY2UubmV0QDg0ZGY5ZTdmLWU5ZjYtNDBhZi1iNDM1LWFhYWFhYWFhYWFhYSIsImV4cCI6MTUxMzQyMzY1NSwibmJmIjoxNTEzNDIzMDU1fQ.55jeM1hbGHeAkIrtQw4g1p-pAMZbNw02004kSfxlUMprN7ubPrOEBYys-22_jUBvdtSfO_ZNe3hCtmm4Mer1yMBdUCPIjmzSeyg4P3RwFuayxbSJJSGud1hfSx3oyyMaRJr3-IwfSXJakoxy6l9LHa7LHEjKphd0JhhpObasYQkJpeTvZUJpvulKY2fuRlLZljTR0A-Tge1jo8k_ZASFjVmXgMWPB-Iad5WwCSJfMh26IExC_S00vcVS-FJjANUggr5dQKocejzLJhcDXh1W31_zMh975BKJOl0CNrR6EHrRWooao8F9GzJUoVzQj2oYC2UyvCrdEZwwL8L_RNoakg&amp;owa=outlook.live.com&amp;isc=1&amp;isImagePreview=True">
          <a:extLst>
            <a:ext uri="{FF2B5EF4-FFF2-40B4-BE49-F238E27FC236}">
              <a16:creationId xmlns:a16="http://schemas.microsoft.com/office/drawing/2014/main" xmlns="" id="{F3E68AB3-E229-4551-9467-8E28A47F8E0B}"/>
            </a:ext>
          </a:extLst>
        </xdr:cNvPr>
        <xdr:cNvSpPr>
          <a:spLocks noChangeAspect="1" noChangeArrowheads="1"/>
        </xdr:cNvSpPr>
      </xdr:nvSpPr>
      <xdr:spPr bwMode="auto">
        <a:xfrm>
          <a:off x="6600825" y="4448175"/>
          <a:ext cx="481965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4</xdr:col>
      <xdr:colOff>401410</xdr:colOff>
      <xdr:row>37</xdr:row>
      <xdr:rowOff>180975</xdr:rowOff>
    </xdr:to>
    <xdr:sp macro="" textlink="">
      <xdr:nvSpPr>
        <xdr:cNvPr id="4" name="AutoShape 4" descr="data:image/png;base64,iVBORw0KGgoAAAANSUhEUgAAAfoAAABPCAYAAAADZQc7AAAXC0lEQVR4nO1d3dWrIBD8yrIcSrIUy7EU37gPXhX2H2OiITPn8JCosMCyAwu6fxkABPz9/SEhISEh9ZDuJhTgmdgUBAAAAPhegOgBFSB6AACA7weIHlABogcAAPh+gOgBFSB6AHgf5nE49k/TdLc4l2Ot35DHeblblJ8HiB5QAaJfURlkIaXp/YZsmVK3hLDMYx5uJoR3yeD126f71dPlNdntMKW//DeMeV70e5ZlzuMQPCQ2jHlMsfvKMve2E9Iwzpe227cDRA+oANEfWImAG5spfYageiX6gxDuI/p3yvA0os+50OW/lCdC1lNBuNIE9njWnuCu9RryMBxtuixTTqTcZUr5L03VOLLuW68fkwhJhk+NyW8CiB5QAaI/oBE98Bp6J3q37IcRfc7lqp9frzwCxljYVv2jR+DzmIcI0f+/b8/7Q560XgCiB1SA6A9IRD+PQ2VsytXQME6V65IapXJlRK+X+fz9pTwae7nMfflfPu1/+bnVyNaruc3YatcXQ47DaNttIrl3bXIZxpnkWbtoD5KQZeXtknIyXMxeeVJ/TYV+SP0mupwdovf6y9O3Ki+H6Ms2rNpumXL6S3nan5cnRtvzet/I5Ubuw4T7HED0gAoQ/QFKzJpBPYz7agT339TtuBHyMuexcG+Wk4fdkKeJ5VPKtN2/LFNOw5hn7f+9vMOIUqNKV3MlWaVpYStQLz+vTaKraSbHXo6wEtzrWt+jtpcgQ6Q8q7+Y3NVqVJgIaa79cH/J+ibnaROu5hqfx2Enb0vuVQaBpK8g+k63sN4NED2gAkR/ILKi3/4rV370uc1QlasdbU+xNGqSgTtWefXz2v+VPEU+pSt0k38nQ0rstD5Ofn6btBF93W71Kltqo1IWtb0MorfKs/pL+k/SIXcPP9hfmr6JebpEz1f0dEK6KKv6vS2F+oDo7wOIHlABoj8QdRl6hlciEIraFWwQvXiyecjjrP0vuPSJd6KZ6J38/DY5T/RUVuueYZwD7WUTPS3P6q+9j6KTNe+wntNfTUTvue6F65YclpepyvdK172TB1ADRA+oANEf0AzoMiWVWKrn/htDy7VKjZhHEtWz5r5qsap1iCBM9ArxS7DaRHOJe3nkvBGsQEaC65ydKajahcsQKs/or72cq1b0Tn9p+mbmqZAl85SQ1TzPh2xFKLJeQfSSfIAPED2gAkR/wCJ6uo8pupOpq1swVIxUi9/iHj2ZZOzvgo/K//NSrWolQ6nKr63onfz8NmkjetqO8qRm288m+9tae8060ZvlGf3F5K4mNX/mvn6J0/11YkWvlbVMScyv8pAU9VO3NoKrcf+wYFGuIJe0pfbrANEDKkD0K7yPfzCjXRB57fL8TzjsYN9GwvzEuJiESUOVj/K/XZ+UU3LKLT0LIqH+sWuRNqneKnBf+bLv43WXVuC8XWYiwxgoz+yvYcwTzaM4KLnrTiraIkD2Vn9p+taiy/bbGUVbqvnIEzbpQz3WxMW7j8vm3//LANEDKkD0wFMQOdvwzeV9O6xDeMD9ANEDKkD0wFMAon82rEN4wP0A0QMqQPTAUwCifzboQUXgWQDRAypA9MATwPZt3+we/nR5APBugOgBFSB6AACA78d/Wx446YuEhISEhIT0rQmrNkAGdKM/lIMfADZAL/oFiB4wAd3oDzDogAToRb8A0QMmoBv9AQYdkAC96BcgesAEdKM/wKADEqAX/QJED5iAblyP6vWtG17d+maDXrZdj++436kb36wXrbh7DH4a3RE9fQdW+1IT/U51i9H4pZjId+oGC/9Zpovavgz4chUi+nGnDr3ToH9i/Hkfs7mjba/Uo7t04w6iN8f4lpzQ0Bta+8Br50/Yn0+hO6LPmQSvcMI7elGzxPxB9B8Di/4WiJYWzjsYC7053x8m+pzfP/6eRvRX69FvEf3RZlJ42mVKoXY40wdN4/QN9ueT6JfoU1LDX64KNeThDUa+N9ytG1J42Ks+T/ouog+V3TvRv3H8Pe3ztCD683CJfh7zcCfRv9H+fBIdE/2kxnpe41JPTDGksJPU9Sjt7bBwiUFX0zfgbt2IDDSv3+T+kUN/jmQPuHTflQO7dusdhsna+xPDanZL9O3jL+e2MTiMc9XeaVrs9qchYid/3Nf9P1U6kyYtRG95z3q9iu8e1VdTf66fnN5B9CUkopevR/rgyEMbq1cRvdWf9EyJZk/eja6J/hjYJZnPeRxSnsgMcO+s3UUzqSuSvfOKMiqjAaK/DHSgHYN6i4Vu95vVP9oqgJIHzXMeB04EhbEo9WPDet9RjkaCn8CniL5l/K3XYmOQGk9aDm3/vZ+rfo+Pe7rNoOa/25LCvTsM8qTCKI8SkKrzFweReTLRu+PcGMvaWD1D9K32Z5PBsiefQNdEn7PcucM488EpdPr2LF1RlPces+w+twDu1o1yoI37bNielZf9ZvWPR/TSCp7OwqXymaEWVgX9u+7bxt92LTIGrf6p+pwY9Pr++LhnKzjV+POJXERfaHmq/gRs0yt4NNF74zzgutf0Ikr0Z+xPzm325F3onujr2f62muCKIXWGthdTEb3oNuqH9O/WDYkkS3j9ZvVPC9Fv/0kuXZfoA5OBT+KTRB8dfzn7fWn9ZxG9tacayf8Vore2HbT/VP0R0q8QfXycc9urjdWzrvsWubx7ruw/C90Tfc50n23bV/FX9FpnqHtoxV7Npzrw3bhbN7yB1tRvpH881zAnkpSnnbj+ExZW9Axnxl/O8b40+0foE2krZZc1UKZK9LtrXXMjx2wHLS+iP+/Ak4neazdxC8QZq1cQ/Rn9ybnW10+gT6KfkmxUS5cLGYxUyeheTIlqj/6/K3Iv+w3vZd+Ju3WDvt7Crjv9ZvWPuwe8rdiKff6IseB7uHwC2PUe/Ynxt/4XG4OsfcmYk6//MWMbLVNdcbv7xdZk0y+P79G/19V7O9ETYq6ueeM8ctahYQK4l/ui/anKEezJp9Ad0dcf7CCNLxjecqVBT+WaJK+mfkg+56d9MEduW6vf+DX9YNf2HO/jkqC47uxpGPNEnyWDe/s/pXTc09FrVK+Mv5ztvizLqNpPOBHttb+88uNlUh0cxpm40jWd4XXbYJWnyu+cLL8CdxK91H4t7cbzSHmyxqowdimRX2F/5Lp9biW/oTuiB67FL+rGN74n24K7V27AMwG9eA+eYE9A9ICJX9SNJwzMdwIGHZAAvXgPnmBPQPSAiV/UjScMzHcCBh2QAL14D55gT3aiR0JCQkJCQuo2YQYHyIBu9Idy8APABuhFvwDRAyagG/0BBh2QAL3oFyB6wAR0oz/AoAMSoBf9AkQPmIBu9AcYdEAC9KJfPI7oaWQq4F48STeAawCDDkiAXvQLk+jVYAqNX/Jq/SzsE15HAFZg0PcHGHRAwlm9iHzN0Ly/jBNBv2ZHvljHvxCol+XlRWU5PsXcUga9t+Y5K6+IfFbbtcgrEn0oFnuQuCPhAylA9M/BWTJgk8TA5HDtd9tITKkeEK2DhX9+lQS8ULxJ3nW7Tvy71vXnNbVPLcc+lelFwqJt9m1Ez/tc+hys3PetUcLqQCmxcry+XGX29VTLR9NZs72Me7XrZ/ViC/mbsx8oZq2LHJdAje1etFUVvMgIOOPltbfBkHISIw9GyqCfdv7/OySvX1exz07KKxL9+qBOzPQj/RZA9N+NM2RAo5dtymeFCQ3NnqeUh2Fgg4NGRNP0ht6fsxxcZjNW+4yZ1odcV9tAqfOUZOPAvpMfXBlZ44S2Wc7fRfSS/DnnPI3OhC7QNpH7vXK0vqxXob6e6vkoOmsRgkc8yvUzerEscx5HYUWuEb1iG/6GMc//x5UafphFDdS5ZXHyquQvo5i2lCEEp5nHwj5ZeY0x+cT2PiEvI/pISERtxc8Cd0xaIAYebEALQ1kSgTTL3spgkaUE+YB2nCX6UVrBOhNDaxW7GQg+kHiQGpXop8TyX5aJGXi+6hjZM8nQrVUuox7iuJGC7RiTHqOM6h7SZjl/D9Fr8udsE3CkbaL3++X4fenpqfnMKOtsEgjBK9u7foVeSH1VyShGk1yJSg/nWkeOjJCjl9devhKuPFIGdaNvedFww1JewxCTj7XfSXk50Udi9LIQr/XMcP1NQzaS0KBKiMeyk7YKHA3Kw0BuDXZMKmjYws9HCuoJV5GBZwD2e8QQlXMe0/psRfSia0/vbyl/yWjO42AONuu661VQJhuSDLob2C5jv0dos5y/g+gt+ddrmwuz9n5E2oaVo9xvlZNzvC89PbXyWe1bkOgdebzrr+gF88wFz3GV3mMazpjyTJS8j7bQ8zrqX/NTSxlivY3wxlVeKSYfxVl5ryF6cVahEL2QPxUsIvw+M6LhLY18gXZcQQZ0pqtBI7d5TPUk0NivbXWnH3uy3PskGwS7rGOFVHutao+TYtSZXJ5XQC7Da7NvIHq/z4t94TIGeKBtSlhtaZaz2MTJ497remrmk5Khs3GiP8Lr6tev0AvpsJh6r7AFVhPnkIeTRO/lddT/NaLftkKscNdaXhH5WJtdRvR7R0VOM+qFtQhG/2sheuomkRKI/jyuIIN5HOKH8ej+JnH10XvK1fVxYMV2HZa6sRpS7ob3zqlo1+lKYpe50v/gil6ph1eG12ZPJ3pPfvGZbb802W0jldV0f7EvG+3LLU9NT718ojrr5eNdv0ovQi7owJtYdGJVHtxrKUvKi/9f81OkDHFLSSLyQF6afHo92uTlRB9wIdDMpcKO/OpJgbSipzNUneh1N0fkbAHQjlcH/TKlNjeedaKepGHgEwjpgIwFjUS8fLTrljH1VlVlXtaZBruM0W6zi1Zu74Lb595BS8PVrR8Gjd/f4grf/xPGQKk/0XwqmSWdvcF1X3peNniT5OgZCuop3rmDnWr3z2JJXuecDX4KlCGN0dJL0ZKXJh+rx0l5GdHXmemHHCqDXLhr3IYke+fSTIZOHOjsTyT6ct8ep/Uvwytk0ELyOTcc2CtWQpq+RYh+06shaUS/6qR0IEszVq6xVQ9E1c9YbfEqMTyZ6CVQ+c3+aGwbqy31CWD5KpPfl56eRvM5/re8DXo+3vUzekHbT9oe4zL6nldpQaie93JsjLUdzfkpXgabiIhn1fy8NPno9vQr8opEv4EfNNBX+rwD5cN1xz7aX/0fGRiHC46u8vheKWtoI2+gDWfJoJXkc24/mb8OkNpwRfLIeRswxaxYMCjVtpBxvc53rt6t3WWmg1955cmrRzWWlDKsNsv5S4mekEkSjF91MDjYNub9RjnVs05fenoazkd52+PYarDz8co5RfSOLaeo3+GnvFLa7+D3CNT39e28dM8RP69h2THvEKImry8fnTS8Jq9J9ABwRje0CaLmbREHv7L3RfNq/TDPIRtfhUiT1Mh1Cs8YWde9ttgMc8TgaW32LUSv9rnzJbAoGXj3R744FiYeR0+tfCSdZe20y3xe975FL34BkTMMLQDRAyagG8/BaqRf91DBoPeDq3QiZ+jFkzCla7egQfSACejGc1B+avQVwKD3g6t0ImfoRc8A0QMmoBv9AQYdkAC96Bc70SMhISEhISF1mzCDA2RAN/pDOfgBYAP0ol+A6AET0I3+AIMOSIBe9AsQPWACutEfYNABCdCLfgGiB0xAN/oDDDogAXrRL7okehrmFjiP3nQDgEEHZEAv+gUjeho6j318n34lrPEzp5+CFVEPiAODvj/AoAMSXtGLpvC07IuD9LvtJClxVdakfCrXiGZ6xFkhXwncPjd7ZRmBvKzYMl5b1/Fg9DzEFX0tnP4d3ieHfwXRX4OzZNDyaVptwEnQYnF710rUn1ZVBj39rCoNFWrolZeXJXO0nFfk/Tai9/v8lb7yycWTQ9InXk5MJ6T6RK5F6u7V9YxeHCF3U05FcBVVPhJboP6mu98X5QeCzGA1Bgmvn1GuAxeVv8eLyojIW/eJ//EjGpku2v460Q/DQfY0FN8y53G47otM7wCI/hqcnt2XymxEtKIhQTfFZ9G+rDyciFkl5CAfA3u+CjpC61OEovTqQ/OyZI6W45Xh5fMtRK/1K4+lQOIWBPtqgxQNLyJHzn7QmPV/u7+s+ljXRDmdult1fUUvaBQ19T4hvPMRdEgO2lOVMZYkaUeWkyMGlgGxpFDolIhfKCMg7zwO+S+NobY7ghcZwZnaiX6N3iSRvUT0UnSdNZqUtFor/ysGaTVDWvMvZ8tpKp+TrhPl+d+R5WCpIlzt/3FykWT5RZwl+lFa9ahhP+v2pWE9rfjV0djWWlmH90oPbTqPo3BNGXCBMKmazNFyvDK8fL6B6KP9Sle5LX21wSI/X/ckfSL/NYTOfWVFH6n7U4ie2uKDK+K21oxKOCXR87L9Jy0ENy6RJyHtZXjyHrrlt50VOnm9fobolymnbXVQEl41cy3jwytuECUGfV1JHpOe3k+jNzHiFlwi9EDeoWB8P2gYBqZ4miy/hqvIQBswkgJPqdATZYXvXZOgGVyP6KW6mIPZikffILNWjleGl8/Tib61jbytEWs1vyxzHtPm9qwXH54cUQJv6a9XXfdW3a265vwZoj/qIbW3FIpVC8tb3BM4J7YvXtmiknLQNll+vQxL3nqCEyD6nePGapHKQ7SfJPq6UcowkfbeA50d0d/lqm0nYeV5dR+THkQoZI7M2LbffPVo1+WXcAUZeGc6uIdFWiHVRuCYvMnXxHIMw0yfYzon7B+KrnvBzVvm5ckcKccrw8vn8UTf0K8yicb66ri3XLQUE32vrwx9kmyK1V9WfSLXInU363pyj56XG9xnThMhwHVlO02SV9XyqPi2WdtqpgfPh4Hn9WoZmrzDMAihhfXnD1np4pkuXM+47ovGrVfIU1UpiVTpfzUZ16EVrUMNnyD6qmMdWX4NV5DBug+lz4jLlcdxuIR6lOi+5ZDH0bgmKLu5skp1vw8pmfGg6aGYEuxAVJGXWR8hL60cqwxP3scTfUMbWa7VDVZfieVv+8jJlqNlpR7tL6s+kbq21r3cM/8E0Ut10BZSdJWt18+2zZ79qcvik4qryijzspI+odX57DzRi3uI8qt3luucrzCGnFLdKBJRS+W6RC+UzxtGdtVEZfk1vEoGy5TsE/fC9dL4WMZUmu1LK6qqrBYXqqED0qEiDWVeVn2sg4ZeOS3yPp3oW9pIO/tRoqWvqrIGW44WfRLrKMht1SdSV1YXp+6lvK8Rvb8q1eqw23Px0PeR5zwmlndsIuNP8o6JGL/3bBlReSNt53nNvTyaiL7MvCJ6so+tzY60xqz2ywOzmZYVfX2P5LYiRO/I8mt4hQw8ks+ZH7zLmexpW8Y0tRla/fAUyYPcJx1gih4WY3pnbR+ohxUdd22jvE8n+hYCpcTR2lfm/Y4cUX1i9TPI5xWi9+r+Tr2IEj097V6+qTCRVTG7l/SH9TZElbe3mi/45MoyonlpbVduLatnx5RzcRSM6OnBAclgirOS8oS+sNKqKiQ1ivgOZcrJc3XsnVOXO49D7Y5lbw3o7hJNFhzGiyNC8vt9koLvCswH0rEasq4JRC+8/lS+HrXew0/+0rpEvyMh5mXJHCiHurDPyPt4om/oV0p+rX21zGNO1djnByc1OSL6xOtmnyw/Q/TVVpZRd6uuOZ/TC/kAnU342kE3vm0qTcDjNtn6/kJt4zkZX1KGk5fWdhWxW7zF3mDT219c0QPAhjO6wU/VyhOqDd7HddiAkN5zVZ5lZSn30zc7qmfYgA3sQxpGQpMhUg4/yNQu79OJPme/X8W9zoG8EhzoKz6pd4xxg26W8HRCrc+ymNf2Z9Pk9rtX12/Qi19BdMshChA9YAK68RyUH+N4BTDo/eAqncgZevEkTOnarWMQPWACuvEclJ/TfAUw6P3gKp3IGXrRM3aiR0JCQkJCQuoz/QOkbUfDWXagcAAAAABJRU5ErkJggg==">
          <a:extLst>
            <a:ext uri="{FF2B5EF4-FFF2-40B4-BE49-F238E27FC236}">
              <a16:creationId xmlns:a16="http://schemas.microsoft.com/office/drawing/2014/main" xmlns="" id="{A18A9C64-A423-461C-BC28-38747953BD24}"/>
            </a:ext>
          </a:extLst>
        </xdr:cNvPr>
        <xdr:cNvSpPr>
          <a:spLocks noChangeAspect="1" noChangeArrowheads="1"/>
        </xdr:cNvSpPr>
      </xdr:nvSpPr>
      <xdr:spPr bwMode="auto">
        <a:xfrm>
          <a:off x="0" y="9020175"/>
          <a:ext cx="481965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209550</xdr:colOff>
      <xdr:row>1</xdr:row>
      <xdr:rowOff>100352</xdr:rowOff>
    </xdr:from>
    <xdr:to>
      <xdr:col>1</xdr:col>
      <xdr:colOff>1914525</xdr:colOff>
      <xdr:row>4</xdr:row>
      <xdr:rowOff>180975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xmlns="" id="{A3CE63DE-B6C8-4EEA-8AC4-C995096FD1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90852"/>
          <a:ext cx="1704975" cy="7187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125219</xdr:colOff>
      <xdr:row>3</xdr:row>
      <xdr:rowOff>30837</xdr:rowOff>
    </xdr:from>
    <xdr:to>
      <xdr:col>8</xdr:col>
      <xdr:colOff>310840</xdr:colOff>
      <xdr:row>4</xdr:row>
      <xdr:rowOff>252529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xmlns="" id="{18134797-56A0-4C1F-B0FF-FBA8EA448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802494" y="669012"/>
          <a:ext cx="823796" cy="41219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809625</xdr:colOff>
      <xdr:row>4</xdr:row>
      <xdr:rowOff>114300</xdr:rowOff>
    </xdr:from>
    <xdr:to>
      <xdr:col>8</xdr:col>
      <xdr:colOff>739930</xdr:colOff>
      <xdr:row>12</xdr:row>
      <xdr:rowOff>66674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C7A9A13F-7204-4BC3-AD66-6801D4FB087C}"/>
            </a:ext>
          </a:extLst>
        </xdr:cNvPr>
        <xdr:cNvSpPr/>
      </xdr:nvSpPr>
      <xdr:spPr>
        <a:xfrm>
          <a:off x="3667125" y="876300"/>
          <a:ext cx="5245255" cy="14763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62252</xdr:rowOff>
    </xdr:from>
    <xdr:to>
      <xdr:col>1</xdr:col>
      <xdr:colOff>1476375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A4CD294-C9E9-49D8-860E-F5496EE7266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52752"/>
          <a:ext cx="1352550" cy="72832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8</xdr:col>
      <xdr:colOff>115694</xdr:colOff>
      <xdr:row>3</xdr:row>
      <xdr:rowOff>49887</xdr:rowOff>
    </xdr:from>
    <xdr:to>
      <xdr:col>9</xdr:col>
      <xdr:colOff>177490</xdr:colOff>
      <xdr:row>4</xdr:row>
      <xdr:rowOff>233479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29A8F00D-8EF8-406D-9284-14BF49D8B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297669" y="621387"/>
          <a:ext cx="823796" cy="41219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3</xdr:col>
      <xdr:colOff>542925</xdr:colOff>
      <xdr:row>4</xdr:row>
      <xdr:rowOff>238125</xdr:rowOff>
    </xdr:from>
    <xdr:to>
      <xdr:col>10</xdr:col>
      <xdr:colOff>358930</xdr:colOff>
      <xdr:row>12</xdr:row>
      <xdr:rowOff>161924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5EF6CA21-C07D-48BD-A05E-06040EC7224D}"/>
            </a:ext>
          </a:extLst>
        </xdr:cNvPr>
        <xdr:cNvSpPr/>
      </xdr:nvSpPr>
      <xdr:spPr>
        <a:xfrm>
          <a:off x="3676650" y="1038225"/>
          <a:ext cx="6388255" cy="15620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157502</xdr:rowOff>
    </xdr:from>
    <xdr:to>
      <xdr:col>1</xdr:col>
      <xdr:colOff>1609725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BD98492-D5BA-4C32-9D64-E1ADC50B33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48002"/>
          <a:ext cx="1485900" cy="7187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468119</xdr:colOff>
      <xdr:row>3</xdr:row>
      <xdr:rowOff>49887</xdr:rowOff>
    </xdr:from>
    <xdr:to>
      <xdr:col>7</xdr:col>
      <xdr:colOff>1291915</xdr:colOff>
      <xdr:row>4</xdr:row>
      <xdr:rowOff>128704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5B2D3E34-CFAB-4869-943A-E49A884AF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945494" y="792837"/>
          <a:ext cx="823796" cy="41219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3</xdr:col>
      <xdr:colOff>495300</xdr:colOff>
      <xdr:row>5</xdr:row>
      <xdr:rowOff>0</xdr:rowOff>
    </xdr:from>
    <xdr:to>
      <xdr:col>9</xdr:col>
      <xdr:colOff>368455</xdr:colOff>
      <xdr:row>13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70B41EEA-C1C2-4C01-A7DC-AC94D81E61E6}"/>
            </a:ext>
          </a:extLst>
        </xdr:cNvPr>
        <xdr:cNvSpPr/>
      </xdr:nvSpPr>
      <xdr:spPr>
        <a:xfrm>
          <a:off x="3695700" y="1266825"/>
          <a:ext cx="7235980" cy="15335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62252</xdr:rowOff>
    </xdr:from>
    <xdr:to>
      <xdr:col>1</xdr:col>
      <xdr:colOff>1476375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A9FE993-BB3B-4910-9E54-5ED7FF184A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52752"/>
          <a:ext cx="1352550" cy="72832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534794</xdr:colOff>
      <xdr:row>3</xdr:row>
      <xdr:rowOff>11787</xdr:rowOff>
    </xdr:from>
    <xdr:to>
      <xdr:col>8</xdr:col>
      <xdr:colOff>596590</xdr:colOff>
      <xdr:row>4</xdr:row>
      <xdr:rowOff>128704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3A0AD37-0F7C-4E51-8D5B-CB844FFD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088119" y="678537"/>
          <a:ext cx="823796" cy="41219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4</xdr:col>
      <xdr:colOff>314325</xdr:colOff>
      <xdr:row>5</xdr:row>
      <xdr:rowOff>0</xdr:rowOff>
    </xdr:from>
    <xdr:to>
      <xdr:col>11</xdr:col>
      <xdr:colOff>606580</xdr:colOff>
      <xdr:row>13</xdr:row>
      <xdr:rowOff>38099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9D3D190A-8728-49CF-B7C3-6259124424F2}"/>
            </a:ext>
          </a:extLst>
        </xdr:cNvPr>
        <xdr:cNvSpPr/>
      </xdr:nvSpPr>
      <xdr:spPr>
        <a:xfrm>
          <a:off x="4286250" y="1152525"/>
          <a:ext cx="7512205" cy="15620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SOUS DIRECTION PILOTAGE DE LA PERFORMANCE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619126</xdr:colOff>
      <xdr:row>1</xdr:row>
      <xdr:rowOff>147977</xdr:rowOff>
    </xdr:from>
    <xdr:to>
      <xdr:col>1</xdr:col>
      <xdr:colOff>2504516</xdr:colOff>
      <xdr:row>6</xdr:row>
      <xdr:rowOff>115568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xmlns="" id="{090F09BB-817A-4A5B-95DE-F3185E52A6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6" y="338477"/>
          <a:ext cx="1885390" cy="92009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392320</xdr:colOff>
      <xdr:row>3</xdr:row>
      <xdr:rowOff>88520</xdr:rowOff>
    </xdr:from>
    <xdr:to>
      <xdr:col>5</xdr:col>
      <xdr:colOff>996392</xdr:colOff>
      <xdr:row>6</xdr:row>
      <xdr:rowOff>88442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xmlns="" id="{4D195392-9FF9-43AE-A547-C5AFEDFB5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1476" y="660020"/>
          <a:ext cx="604072" cy="571422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392906</xdr:colOff>
      <xdr:row>6</xdr:row>
      <xdr:rowOff>119062</xdr:rowOff>
    </xdr:from>
    <xdr:to>
      <xdr:col>7</xdr:col>
      <xdr:colOff>571500</xdr:colOff>
      <xdr:row>15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xmlns="" id="{471AAF12-C1C2-49C9-916D-CCD508C31564}"/>
            </a:ext>
          </a:extLst>
        </xdr:cNvPr>
        <xdr:cNvSpPr/>
      </xdr:nvSpPr>
      <xdr:spPr>
        <a:xfrm>
          <a:off x="3643312" y="1262062"/>
          <a:ext cx="8727282" cy="178593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n>
                <a:noFill/>
              </a:ln>
              <a:solidFill>
                <a:schemeClr val="tx1"/>
              </a:solidFill>
            </a:rPr>
            <a:t>       </a:t>
          </a:r>
          <a:r>
            <a:rPr lang="en-GB" sz="1100" b="1">
              <a:ln>
                <a:noFill/>
              </a:ln>
              <a:solidFill>
                <a:schemeClr val="tx1"/>
              </a:solidFill>
              <a:latin typeface="+mn-lt"/>
            </a:rPr>
            <a:t>ATM MOBILIS</a:t>
          </a:r>
        </a:p>
        <a:p>
          <a:pPr algn="ctr"/>
          <a:r>
            <a:rPr lang="en-GB" sz="1100" b="1">
              <a:ln>
                <a:noFill/>
              </a:ln>
              <a:solidFill>
                <a:schemeClr val="tx1"/>
              </a:solidFill>
              <a:latin typeface="+mn-lt"/>
            </a:rPr>
            <a:t>         DIRECTION GENERALE</a:t>
          </a:r>
        </a:p>
        <a:p>
          <a:pPr algn="ctr"/>
          <a:r>
            <a:rPr lang="en-GB" sz="1100" b="1">
              <a:ln>
                <a:noFill/>
              </a:ln>
              <a:solidFill>
                <a:schemeClr val="tx1"/>
              </a:solidFill>
              <a:latin typeface="+mn-lt"/>
            </a:rPr>
            <a:t>              DIVISION GOUVERNANCE ET SERVICE DELIVERY</a:t>
          </a:r>
        </a:p>
        <a:p>
          <a:pPr algn="ctr"/>
          <a:r>
            <a:rPr lang="en-GB" sz="1100" b="1" baseline="0">
              <a:ln>
                <a:noFill/>
              </a:ln>
              <a:solidFill>
                <a:schemeClr val="tx1"/>
              </a:solidFill>
              <a:latin typeface="+mn-lt"/>
            </a:rPr>
            <a:t>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  <a:latin typeface="+mn-lt"/>
            </a:rPr>
            <a:t>DIRECTION CONTRÔLE DE GESTION</a:t>
          </a:r>
        </a:p>
        <a:p>
          <a:pPr algn="ctr"/>
          <a:endParaRPr lang="en-GB" sz="1100" b="1">
            <a:ln>
              <a:noFill/>
            </a:ln>
            <a:solidFill>
              <a:schemeClr val="tx1"/>
            </a:solidFill>
            <a:latin typeface="+mn-lt"/>
          </a:endParaRPr>
        </a:p>
        <a:p>
          <a:pPr algn="ctr"/>
          <a:r>
            <a:rPr lang="en-GB" sz="1100" b="1">
              <a:ln>
                <a:noFill/>
              </a:ln>
              <a:solidFill>
                <a:schemeClr val="tx1"/>
              </a:solidFill>
              <a:latin typeface="+mn-lt"/>
            </a:rPr>
            <a:t>               SOUS DIRECTION PILOTAGE DE LA PERFORMANCE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191242</xdr:colOff>
      <xdr:row>1</xdr:row>
      <xdr:rowOff>167027</xdr:rowOff>
    </xdr:from>
    <xdr:to>
      <xdr:col>1</xdr:col>
      <xdr:colOff>2009215</xdr:colOff>
      <xdr:row>4</xdr:row>
      <xdr:rowOff>171450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xmlns="" id="{7049D62F-CB33-4E76-9821-084CC827D6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242" y="357527"/>
          <a:ext cx="1817973" cy="57592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518526</xdr:colOff>
      <xdr:row>3</xdr:row>
      <xdr:rowOff>66674</xdr:rowOff>
    </xdr:from>
    <xdr:to>
      <xdr:col>6</xdr:col>
      <xdr:colOff>1076325</xdr:colOff>
      <xdr:row>5</xdr:row>
      <xdr:rowOff>131303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xmlns="" id="{AA02B9DD-8CAE-46C8-A05C-869582B0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6126" y="638174"/>
          <a:ext cx="557799" cy="44562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1533525</xdr:colOff>
      <xdr:row>6</xdr:row>
      <xdr:rowOff>104775</xdr:rowOff>
    </xdr:from>
    <xdr:to>
      <xdr:col>9</xdr:col>
      <xdr:colOff>278607</xdr:colOff>
      <xdr:row>13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81FFB24F-12E2-4E5B-B9AD-1228ED9F0E15}"/>
            </a:ext>
          </a:extLst>
        </xdr:cNvPr>
        <xdr:cNvSpPr/>
      </xdr:nvSpPr>
      <xdr:spPr>
        <a:xfrm>
          <a:off x="1533525" y="1200150"/>
          <a:ext cx="8727282" cy="13144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n>
                <a:noFill/>
              </a:ln>
              <a:solidFill>
                <a:schemeClr val="tx1"/>
              </a:solidFill>
            </a:rPr>
            <a:t>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ATM MOBILIS</a:t>
          </a:r>
        </a:p>
        <a:p>
          <a:pPr algn="ctr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DIRECTION GENERALE</a:t>
          </a:r>
        </a:p>
        <a:p>
          <a:pPr algn="ctr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DIVISION GOUVERNANCE ET SERVICE DELIVERY</a:t>
          </a:r>
        </a:p>
        <a:p>
          <a:pPr algn="ctr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ctr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ctr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SOUS DIRECTION PILOTAGE DE LA PERFORMANCE 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62252</xdr:rowOff>
    </xdr:from>
    <xdr:to>
      <xdr:col>1</xdr:col>
      <xdr:colOff>1609725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E7A2828-1C34-4C28-AF99-49B2073455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52752"/>
          <a:ext cx="1485900" cy="8330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590550</xdr:colOff>
      <xdr:row>5</xdr:row>
      <xdr:rowOff>66675</xdr:rowOff>
    </xdr:from>
    <xdr:to>
      <xdr:col>8</xdr:col>
      <xdr:colOff>748392</xdr:colOff>
      <xdr:row>11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20E0310A-7360-40C5-9A94-8C66D14E8A1F}"/>
            </a:ext>
          </a:extLst>
        </xdr:cNvPr>
        <xdr:cNvSpPr/>
      </xdr:nvSpPr>
      <xdr:spPr>
        <a:xfrm>
          <a:off x="4343400" y="1238250"/>
          <a:ext cx="4567917" cy="1162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SOUS DIRECTION PILOTAGE DE LA PERFORMANCE </a:t>
          </a:r>
        </a:p>
      </xdr:txBody>
    </xdr:sp>
    <xdr:clientData/>
  </xdr:twoCellAnchor>
  <xdr:twoCellAnchor editAs="oneCell">
    <xdr:from>
      <xdr:col>7</xdr:col>
      <xdr:colOff>66675</xdr:colOff>
      <xdr:row>2</xdr:row>
      <xdr:rowOff>257175</xdr:rowOff>
    </xdr:from>
    <xdr:to>
      <xdr:col>8</xdr:col>
      <xdr:colOff>162490</xdr:colOff>
      <xdr:row>4</xdr:row>
      <xdr:rowOff>153760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xmlns="" id="{1C65AD2B-18F2-4543-9F26-24A37AE47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5" y="638175"/>
          <a:ext cx="857815" cy="49666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251114</xdr:colOff>
      <xdr:row>1</xdr:row>
      <xdr:rowOff>137885</xdr:rowOff>
    </xdr:from>
    <xdr:to>
      <xdr:col>1</xdr:col>
      <xdr:colOff>2028825</xdr:colOff>
      <xdr:row>5</xdr:row>
      <xdr:rowOff>38100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xmlns="" id="{AD74A914-39C0-42A3-AB8F-3378D6C2417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114" y="328385"/>
          <a:ext cx="1777711" cy="66221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1601107</xdr:colOff>
      <xdr:row>3</xdr:row>
      <xdr:rowOff>95250</xdr:rowOff>
    </xdr:from>
    <xdr:to>
      <xdr:col>5</xdr:col>
      <xdr:colOff>792047</xdr:colOff>
      <xdr:row>6</xdr:row>
      <xdr:rowOff>20410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xmlns="" id="{18B7CF42-2F2F-4E72-A785-706DBA56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6732" y="666750"/>
          <a:ext cx="857815" cy="49666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1181100</xdr:colOff>
      <xdr:row>6</xdr:row>
      <xdr:rowOff>123825</xdr:rowOff>
    </xdr:from>
    <xdr:to>
      <xdr:col>6</xdr:col>
      <xdr:colOff>110217</xdr:colOff>
      <xdr:row>12</xdr:row>
      <xdr:rowOff>148771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BE167041-D5AC-4D41-B74F-F259AF68A63D}"/>
            </a:ext>
          </a:extLst>
        </xdr:cNvPr>
        <xdr:cNvSpPr/>
      </xdr:nvSpPr>
      <xdr:spPr>
        <a:xfrm>
          <a:off x="4267200" y="1266825"/>
          <a:ext cx="4405992" cy="11679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SOUS DIRECTION PILOTAGE DE LA PERFORMANCE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137885</xdr:rowOff>
    </xdr:from>
    <xdr:to>
      <xdr:col>1</xdr:col>
      <xdr:colOff>2133600</xdr:colOff>
      <xdr:row>5</xdr:row>
      <xdr:rowOff>123825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xmlns="" id="{53D06C27-D285-4983-B279-D7CD6D5F76B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328385"/>
          <a:ext cx="1952625" cy="7479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886732</xdr:colOff>
      <xdr:row>3</xdr:row>
      <xdr:rowOff>0</xdr:rowOff>
    </xdr:from>
    <xdr:to>
      <xdr:col>6</xdr:col>
      <xdr:colOff>563447</xdr:colOff>
      <xdr:row>5</xdr:row>
      <xdr:rowOff>115660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xmlns="" id="{1BE668E8-9E15-4973-8080-93A3D6B7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7607" y="571500"/>
          <a:ext cx="857815" cy="49666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1000125</xdr:colOff>
      <xdr:row>6</xdr:row>
      <xdr:rowOff>171450</xdr:rowOff>
    </xdr:from>
    <xdr:to>
      <xdr:col>6</xdr:col>
      <xdr:colOff>586467</xdr:colOff>
      <xdr:row>13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6BA946EB-2E6A-47D9-B6D3-02AEB1306091}"/>
            </a:ext>
          </a:extLst>
        </xdr:cNvPr>
        <xdr:cNvSpPr/>
      </xdr:nvSpPr>
      <xdr:spPr>
        <a:xfrm>
          <a:off x="4200525" y="1314450"/>
          <a:ext cx="4405992" cy="11679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SOUS DIRECTION PILOTAGE DE LA PERFORMANCE 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380069</xdr:colOff>
      <xdr:row>1</xdr:row>
      <xdr:rowOff>147056</xdr:rowOff>
    </xdr:from>
    <xdr:to>
      <xdr:col>1</xdr:col>
      <xdr:colOff>2263697</xdr:colOff>
      <xdr:row>5</xdr:row>
      <xdr:rowOff>142875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A8651D5A-50F3-4D28-AB72-CFBAB90B1DF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69" y="337556"/>
          <a:ext cx="1883628" cy="7578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476250</xdr:colOff>
      <xdr:row>3</xdr:row>
      <xdr:rowOff>38100</xdr:rowOff>
    </xdr:from>
    <xdr:to>
      <xdr:col>7</xdr:col>
      <xdr:colOff>152725</xdr:colOff>
      <xdr:row>5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C58871F1-A6B4-4A7C-8905-D96BA3988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609600"/>
          <a:ext cx="438475" cy="381000"/>
        </a:xfrm>
        <a:prstGeom prst="rect">
          <a:avLst/>
        </a:prstGeom>
      </xdr:spPr>
    </xdr:pic>
    <xdr:clientData/>
  </xdr:twoCellAnchor>
  <xdr:twoCellAnchor>
    <xdr:from>
      <xdr:col>2</xdr:col>
      <xdr:colOff>485775</xdr:colOff>
      <xdr:row>6</xdr:row>
      <xdr:rowOff>171450</xdr:rowOff>
    </xdr:from>
    <xdr:to>
      <xdr:col>7</xdr:col>
      <xdr:colOff>386442</xdr:colOff>
      <xdr:row>10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C3ED77D7-3C05-43D3-90FE-F5DEF21873FE}"/>
            </a:ext>
          </a:extLst>
        </xdr:cNvPr>
        <xdr:cNvSpPr/>
      </xdr:nvSpPr>
      <xdr:spPr>
        <a:xfrm>
          <a:off x="4038600" y="1504950"/>
          <a:ext cx="4567917" cy="1162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SOUS DIRECTION PILOTAGE DE LA PERFORMANCE 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104776</xdr:rowOff>
    </xdr:from>
    <xdr:to>
      <xdr:col>1</xdr:col>
      <xdr:colOff>2276475</xdr:colOff>
      <xdr:row>4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9B595F9-CC5B-4D24-A243-0A0F971A9F0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304801"/>
          <a:ext cx="1971675" cy="5905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590550</xdr:colOff>
      <xdr:row>4</xdr:row>
      <xdr:rowOff>180975</xdr:rowOff>
    </xdr:from>
    <xdr:to>
      <xdr:col>9</xdr:col>
      <xdr:colOff>381000</xdr:colOff>
      <xdr:row>11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8EDEB585-5A29-4933-9191-B6E5840F43F8}"/>
            </a:ext>
          </a:extLst>
        </xdr:cNvPr>
        <xdr:cNvSpPr/>
      </xdr:nvSpPr>
      <xdr:spPr>
        <a:xfrm>
          <a:off x="4905375" y="981075"/>
          <a:ext cx="4362450" cy="1228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        ATM MOBILIS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                       DIRECTION GENERALE</a:t>
          </a: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DIVISION GOUVERNANCE ET SERVICE DELIVERY</a:t>
          </a:r>
        </a:p>
        <a:p>
          <a:pPr algn="l"/>
          <a:r>
            <a:rPr lang="en-GB" sz="1100" b="1" baseline="0">
              <a:ln>
                <a:noFill/>
              </a:ln>
              <a:solidFill>
                <a:schemeClr val="tx1"/>
              </a:solidFill>
            </a:rPr>
            <a:t>                                              </a:t>
          </a:r>
          <a:r>
            <a:rPr lang="en-GB" sz="1100" b="1">
              <a:ln>
                <a:noFill/>
              </a:ln>
              <a:solidFill>
                <a:schemeClr val="tx1"/>
              </a:solidFill>
            </a:rPr>
            <a:t>DIRECTION CONTRÔLE DE GESTION</a:t>
          </a:r>
        </a:p>
        <a:p>
          <a:pPr algn="l"/>
          <a:endParaRPr lang="en-GB" sz="1100" b="1">
            <a:ln>
              <a:noFill/>
            </a:ln>
            <a:solidFill>
              <a:schemeClr val="tx1"/>
            </a:solidFill>
          </a:endParaRPr>
        </a:p>
        <a:p>
          <a:pPr algn="l"/>
          <a:r>
            <a:rPr lang="en-GB" sz="1100" b="1">
              <a:ln>
                <a:noFill/>
              </a:ln>
              <a:solidFill>
                <a:schemeClr val="tx1"/>
              </a:solidFill>
            </a:rPr>
            <a:t>                                    SOUS DIRECTION PILOTAGE DE LA PERFORMANCE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au121618202" displayName="Tableau121618202" ref="C26:E30" totalsRowShown="0" headerRowDxfId="6" dataDxfId="4" headerRowBorderDxfId="5" totalsRowBorderDxfId="3">
  <tableColumns count="3">
    <tableColumn id="2" name="Equipements" dataDxfId="2"/>
    <tableColumn id="1" name="M" dataDxfId="1"/>
    <tableColumn id="3" name="M+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86"/>
  <sheetViews>
    <sheetView showGridLines="0" tabSelected="1" zoomScale="82" zoomScaleNormal="82" zoomScaleSheetLayoutView="80" workbookViewId="0">
      <pane xSplit="2" topLeftCell="C1" activePane="topRight" state="frozen"/>
      <selection pane="topRight" activeCell="I12" sqref="I12"/>
    </sheetView>
  </sheetViews>
  <sheetFormatPr baseColWidth="10" defaultRowHeight="17.399999999999999" x14ac:dyDescent="0.25"/>
  <cols>
    <col min="1" max="1" width="11.44140625" style="6"/>
    <col min="2" max="2" width="41" style="3" customWidth="1"/>
    <col min="3" max="5" width="15.109375" style="71" customWidth="1"/>
    <col min="6" max="6" width="15.109375" style="3" customWidth="1"/>
    <col min="7" max="8" width="15.109375" style="4" customWidth="1"/>
    <col min="9" max="9" width="44.44140625" style="31" customWidth="1"/>
    <col min="10" max="10" width="15.109375" style="31" bestFit="1" customWidth="1"/>
    <col min="11" max="11" width="14" style="31" customWidth="1"/>
    <col min="12" max="140" width="11.44140625" style="6"/>
    <col min="141" max="141" width="18.6640625" style="6" customWidth="1"/>
    <col min="142" max="142" width="38.5546875" style="6" customWidth="1"/>
    <col min="143" max="143" width="21.5546875" style="6" bestFit="1" customWidth="1"/>
    <col min="144" max="144" width="20.44140625" style="6" bestFit="1" customWidth="1"/>
    <col min="145" max="145" width="17.33203125" style="6" bestFit="1" customWidth="1"/>
    <col min="146" max="146" width="18.33203125" style="6" bestFit="1" customWidth="1"/>
    <col min="147" max="147" width="17.44140625" style="6" bestFit="1" customWidth="1"/>
    <col min="148" max="148" width="1.44140625" style="6" customWidth="1"/>
    <col min="149" max="149" width="17.33203125" style="6" customWidth="1"/>
    <col min="150" max="150" width="17.88671875" style="6" bestFit="1" customWidth="1"/>
    <col min="151" max="151" width="17.33203125" style="6" customWidth="1"/>
    <col min="152" max="152" width="17.88671875" style="6" bestFit="1" customWidth="1"/>
    <col min="153" max="153" width="17" style="6" bestFit="1" customWidth="1"/>
    <col min="154" max="154" width="1.6640625" style="6" customWidth="1"/>
    <col min="155" max="155" width="17.33203125" style="6" bestFit="1" customWidth="1"/>
    <col min="156" max="156" width="17.88671875" style="6" bestFit="1" customWidth="1"/>
    <col min="157" max="157" width="17.33203125" style="6" bestFit="1" customWidth="1"/>
    <col min="158" max="158" width="17.88671875" style="6" bestFit="1" customWidth="1"/>
    <col min="159" max="159" width="17" style="6" bestFit="1" customWidth="1"/>
    <col min="160" max="160" width="2" style="6" customWidth="1"/>
    <col min="161" max="162" width="17" style="6" bestFit="1" customWidth="1"/>
    <col min="163" max="163" width="17.33203125" style="6" bestFit="1" customWidth="1"/>
    <col min="164" max="164" width="16" style="6" customWidth="1"/>
    <col min="165" max="165" width="17" style="6" bestFit="1" customWidth="1"/>
    <col min="166" max="166" width="2" style="6" customWidth="1"/>
    <col min="167" max="168" width="17" style="6" bestFit="1" customWidth="1"/>
    <col min="169" max="169" width="17.33203125" style="6" bestFit="1" customWidth="1"/>
    <col min="170" max="170" width="16" style="6" customWidth="1"/>
    <col min="171" max="171" width="17" style="6" bestFit="1" customWidth="1"/>
    <col min="172" max="172" width="2" style="6" customWidth="1"/>
    <col min="173" max="173" width="17" style="6" bestFit="1" customWidth="1"/>
    <col min="174" max="174" width="25.5546875" style="6" customWidth="1"/>
    <col min="175" max="175" width="19.109375" style="6" customWidth="1"/>
    <col min="176" max="176" width="16" style="6" customWidth="1"/>
    <col min="177" max="177" width="17" style="6" bestFit="1" customWidth="1"/>
    <col min="178" max="178" width="2" style="6" customWidth="1"/>
    <col min="179" max="179" width="16" style="6" bestFit="1" customWidth="1"/>
    <col min="180" max="180" width="16.33203125" style="6" bestFit="1" customWidth="1"/>
    <col min="181" max="181" width="15.6640625" style="6" bestFit="1" customWidth="1"/>
    <col min="182" max="182" width="16.33203125" style="6" bestFit="1" customWidth="1"/>
    <col min="183" max="183" width="15" style="6" bestFit="1" customWidth="1"/>
    <col min="184" max="184" width="2" style="6" customWidth="1"/>
    <col min="185" max="185" width="17" style="6" bestFit="1" customWidth="1"/>
    <col min="186" max="186" width="16.6640625" style="6" bestFit="1" customWidth="1"/>
    <col min="187" max="187" width="17.33203125" style="6" bestFit="1" customWidth="1"/>
    <col min="188" max="188" width="16" style="6" bestFit="1" customWidth="1"/>
    <col min="189" max="189" width="17" style="6" customWidth="1"/>
    <col min="190" max="190" width="2" style="6" customWidth="1"/>
    <col min="191" max="191" width="16.33203125" style="6" bestFit="1" customWidth="1"/>
    <col min="192" max="192" width="18.88671875" style="6" bestFit="1" customWidth="1"/>
    <col min="193" max="193" width="16" style="6" bestFit="1" customWidth="1"/>
    <col min="194" max="194" width="16.33203125" style="6" bestFit="1" customWidth="1"/>
    <col min="195" max="195" width="15" style="6" bestFit="1" customWidth="1"/>
    <col min="196" max="196" width="2" style="6" customWidth="1"/>
    <col min="197" max="198" width="17" style="6" bestFit="1" customWidth="1"/>
    <col min="199" max="199" width="17.33203125" style="6" bestFit="1" customWidth="1"/>
    <col min="200" max="200" width="16" style="6" bestFit="1" customWidth="1"/>
    <col min="201" max="201" width="17" style="6" bestFit="1" customWidth="1"/>
    <col min="202" max="202" width="2.33203125" style="6" customWidth="1"/>
    <col min="203" max="203" width="17" style="6" customWidth="1"/>
    <col min="204" max="204" width="17" style="6" bestFit="1" customWidth="1"/>
    <col min="205" max="205" width="17.33203125" style="6" bestFit="1" customWidth="1"/>
    <col min="206" max="206" width="16" style="6" bestFit="1" customWidth="1"/>
    <col min="207" max="207" width="17" style="6" bestFit="1" customWidth="1"/>
    <col min="208" max="208" width="3" style="6" customWidth="1"/>
    <col min="209" max="209" width="16" style="6" bestFit="1" customWidth="1"/>
    <col min="210" max="210" width="17" style="6" bestFit="1" customWidth="1"/>
    <col min="211" max="211" width="17.33203125" style="6" bestFit="1" customWidth="1"/>
    <col min="212" max="212" width="16" style="6" bestFit="1" customWidth="1"/>
    <col min="213" max="213" width="17" style="6" bestFit="1" customWidth="1"/>
    <col min="214" max="214" width="3" style="6" customWidth="1"/>
    <col min="215" max="216" width="17.88671875" style="6" bestFit="1" customWidth="1"/>
    <col min="217" max="217" width="17.33203125" style="6" bestFit="1" customWidth="1"/>
    <col min="218" max="218" width="17.88671875" style="6" bestFit="1" customWidth="1"/>
    <col min="219" max="219" width="17" style="6" bestFit="1" customWidth="1"/>
    <col min="220" max="220" width="17.6640625" style="6" bestFit="1" customWidth="1"/>
    <col min="221" max="221" width="2" style="6" customWidth="1"/>
    <col min="222" max="222" width="19.88671875" style="6" bestFit="1" customWidth="1"/>
    <col min="223" max="223" width="18.88671875" style="6" bestFit="1" customWidth="1"/>
    <col min="224" max="224" width="19.5546875" style="6" bestFit="1" customWidth="1"/>
    <col min="225" max="396" width="11.44140625" style="6"/>
    <col min="397" max="397" width="18.6640625" style="6" customWidth="1"/>
    <col min="398" max="398" width="38.5546875" style="6" customWidth="1"/>
    <col min="399" max="399" width="21.5546875" style="6" bestFit="1" customWidth="1"/>
    <col min="400" max="400" width="20.44140625" style="6" bestFit="1" customWidth="1"/>
    <col min="401" max="401" width="17.33203125" style="6" bestFit="1" customWidth="1"/>
    <col min="402" max="402" width="18.33203125" style="6" bestFit="1" customWidth="1"/>
    <col min="403" max="403" width="17.44140625" style="6" bestFit="1" customWidth="1"/>
    <col min="404" max="404" width="1.44140625" style="6" customWidth="1"/>
    <col min="405" max="405" width="17.33203125" style="6" customWidth="1"/>
    <col min="406" max="406" width="17.88671875" style="6" bestFit="1" customWidth="1"/>
    <col min="407" max="407" width="17.33203125" style="6" customWidth="1"/>
    <col min="408" max="408" width="17.88671875" style="6" bestFit="1" customWidth="1"/>
    <col min="409" max="409" width="17" style="6" bestFit="1" customWidth="1"/>
    <col min="410" max="410" width="1.6640625" style="6" customWidth="1"/>
    <col min="411" max="411" width="17.33203125" style="6" bestFit="1" customWidth="1"/>
    <col min="412" max="412" width="17.88671875" style="6" bestFit="1" customWidth="1"/>
    <col min="413" max="413" width="17.33203125" style="6" bestFit="1" customWidth="1"/>
    <col min="414" max="414" width="17.88671875" style="6" bestFit="1" customWidth="1"/>
    <col min="415" max="415" width="17" style="6" bestFit="1" customWidth="1"/>
    <col min="416" max="416" width="2" style="6" customWidth="1"/>
    <col min="417" max="418" width="17" style="6" bestFit="1" customWidth="1"/>
    <col min="419" max="419" width="17.33203125" style="6" bestFit="1" customWidth="1"/>
    <col min="420" max="420" width="16" style="6" customWidth="1"/>
    <col min="421" max="421" width="17" style="6" bestFit="1" customWidth="1"/>
    <col min="422" max="422" width="2" style="6" customWidth="1"/>
    <col min="423" max="424" width="17" style="6" bestFit="1" customWidth="1"/>
    <col min="425" max="425" width="17.33203125" style="6" bestFit="1" customWidth="1"/>
    <col min="426" max="426" width="16" style="6" customWidth="1"/>
    <col min="427" max="427" width="17" style="6" bestFit="1" customWidth="1"/>
    <col min="428" max="428" width="2" style="6" customWidth="1"/>
    <col min="429" max="429" width="17" style="6" bestFit="1" customWidth="1"/>
    <col min="430" max="430" width="25.5546875" style="6" customWidth="1"/>
    <col min="431" max="431" width="19.109375" style="6" customWidth="1"/>
    <col min="432" max="432" width="16" style="6" customWidth="1"/>
    <col min="433" max="433" width="17" style="6" bestFit="1" customWidth="1"/>
    <col min="434" max="434" width="2" style="6" customWidth="1"/>
    <col min="435" max="435" width="16" style="6" bestFit="1" customWidth="1"/>
    <col min="436" max="436" width="16.33203125" style="6" bestFit="1" customWidth="1"/>
    <col min="437" max="437" width="15.6640625" style="6" bestFit="1" customWidth="1"/>
    <col min="438" max="438" width="16.33203125" style="6" bestFit="1" customWidth="1"/>
    <col min="439" max="439" width="15" style="6" bestFit="1" customWidth="1"/>
    <col min="440" max="440" width="2" style="6" customWidth="1"/>
    <col min="441" max="441" width="17" style="6" bestFit="1" customWidth="1"/>
    <col min="442" max="442" width="16.6640625" style="6" bestFit="1" customWidth="1"/>
    <col min="443" max="443" width="17.33203125" style="6" bestFit="1" customWidth="1"/>
    <col min="444" max="444" width="16" style="6" bestFit="1" customWidth="1"/>
    <col min="445" max="445" width="17" style="6" customWidth="1"/>
    <col min="446" max="446" width="2" style="6" customWidth="1"/>
    <col min="447" max="447" width="16.33203125" style="6" bestFit="1" customWidth="1"/>
    <col min="448" max="448" width="18.88671875" style="6" bestFit="1" customWidth="1"/>
    <col min="449" max="449" width="16" style="6" bestFit="1" customWidth="1"/>
    <col min="450" max="450" width="16.33203125" style="6" bestFit="1" customWidth="1"/>
    <col min="451" max="451" width="15" style="6" bestFit="1" customWidth="1"/>
    <col min="452" max="452" width="2" style="6" customWidth="1"/>
    <col min="453" max="454" width="17" style="6" bestFit="1" customWidth="1"/>
    <col min="455" max="455" width="17.33203125" style="6" bestFit="1" customWidth="1"/>
    <col min="456" max="456" width="16" style="6" bestFit="1" customWidth="1"/>
    <col min="457" max="457" width="17" style="6" bestFit="1" customWidth="1"/>
    <col min="458" max="458" width="2.33203125" style="6" customWidth="1"/>
    <col min="459" max="459" width="17" style="6" customWidth="1"/>
    <col min="460" max="460" width="17" style="6" bestFit="1" customWidth="1"/>
    <col min="461" max="461" width="17.33203125" style="6" bestFit="1" customWidth="1"/>
    <col min="462" max="462" width="16" style="6" bestFit="1" customWidth="1"/>
    <col min="463" max="463" width="17" style="6" bestFit="1" customWidth="1"/>
    <col min="464" max="464" width="3" style="6" customWidth="1"/>
    <col min="465" max="465" width="16" style="6" bestFit="1" customWidth="1"/>
    <col min="466" max="466" width="17" style="6" bestFit="1" customWidth="1"/>
    <col min="467" max="467" width="17.33203125" style="6" bestFit="1" customWidth="1"/>
    <col min="468" max="468" width="16" style="6" bestFit="1" customWidth="1"/>
    <col min="469" max="469" width="17" style="6" bestFit="1" customWidth="1"/>
    <col min="470" max="470" width="3" style="6" customWidth="1"/>
    <col min="471" max="472" width="17.88671875" style="6" bestFit="1" customWidth="1"/>
    <col min="473" max="473" width="17.33203125" style="6" bestFit="1" customWidth="1"/>
    <col min="474" max="474" width="17.88671875" style="6" bestFit="1" customWidth="1"/>
    <col min="475" max="475" width="17" style="6" bestFit="1" customWidth="1"/>
    <col min="476" max="476" width="17.6640625" style="6" bestFit="1" customWidth="1"/>
    <col min="477" max="477" width="2" style="6" customWidth="1"/>
    <col min="478" max="478" width="19.88671875" style="6" bestFit="1" customWidth="1"/>
    <col min="479" max="479" width="18.88671875" style="6" bestFit="1" customWidth="1"/>
    <col min="480" max="480" width="19.5546875" style="6" bestFit="1" customWidth="1"/>
    <col min="481" max="652" width="11.44140625" style="6"/>
    <col min="653" max="653" width="18.6640625" style="6" customWidth="1"/>
    <col min="654" max="654" width="38.5546875" style="6" customWidth="1"/>
    <col min="655" max="655" width="21.5546875" style="6" bestFit="1" customWidth="1"/>
    <col min="656" max="656" width="20.44140625" style="6" bestFit="1" customWidth="1"/>
    <col min="657" max="657" width="17.33203125" style="6" bestFit="1" customWidth="1"/>
    <col min="658" max="658" width="18.33203125" style="6" bestFit="1" customWidth="1"/>
    <col min="659" max="659" width="17.44140625" style="6" bestFit="1" customWidth="1"/>
    <col min="660" max="660" width="1.44140625" style="6" customWidth="1"/>
    <col min="661" max="661" width="17.33203125" style="6" customWidth="1"/>
    <col min="662" max="662" width="17.88671875" style="6" bestFit="1" customWidth="1"/>
    <col min="663" max="663" width="17.33203125" style="6" customWidth="1"/>
    <col min="664" max="664" width="17.88671875" style="6" bestFit="1" customWidth="1"/>
    <col min="665" max="665" width="17" style="6" bestFit="1" customWidth="1"/>
    <col min="666" max="666" width="1.6640625" style="6" customWidth="1"/>
    <col min="667" max="667" width="17.33203125" style="6" bestFit="1" customWidth="1"/>
    <col min="668" max="668" width="17.88671875" style="6" bestFit="1" customWidth="1"/>
    <col min="669" max="669" width="17.33203125" style="6" bestFit="1" customWidth="1"/>
    <col min="670" max="670" width="17.88671875" style="6" bestFit="1" customWidth="1"/>
    <col min="671" max="671" width="17" style="6" bestFit="1" customWidth="1"/>
    <col min="672" max="672" width="2" style="6" customWidth="1"/>
    <col min="673" max="674" width="17" style="6" bestFit="1" customWidth="1"/>
    <col min="675" max="675" width="17.33203125" style="6" bestFit="1" customWidth="1"/>
    <col min="676" max="676" width="16" style="6" customWidth="1"/>
    <col min="677" max="677" width="17" style="6" bestFit="1" customWidth="1"/>
    <col min="678" max="678" width="2" style="6" customWidth="1"/>
    <col min="679" max="680" width="17" style="6" bestFit="1" customWidth="1"/>
    <col min="681" max="681" width="17.33203125" style="6" bestFit="1" customWidth="1"/>
    <col min="682" max="682" width="16" style="6" customWidth="1"/>
    <col min="683" max="683" width="17" style="6" bestFit="1" customWidth="1"/>
    <col min="684" max="684" width="2" style="6" customWidth="1"/>
    <col min="685" max="685" width="17" style="6" bestFit="1" customWidth="1"/>
    <col min="686" max="686" width="25.5546875" style="6" customWidth="1"/>
    <col min="687" max="687" width="19.109375" style="6" customWidth="1"/>
    <col min="688" max="688" width="16" style="6" customWidth="1"/>
    <col min="689" max="689" width="17" style="6" bestFit="1" customWidth="1"/>
    <col min="690" max="690" width="2" style="6" customWidth="1"/>
    <col min="691" max="691" width="16" style="6" bestFit="1" customWidth="1"/>
    <col min="692" max="692" width="16.33203125" style="6" bestFit="1" customWidth="1"/>
    <col min="693" max="693" width="15.6640625" style="6" bestFit="1" customWidth="1"/>
    <col min="694" max="694" width="16.33203125" style="6" bestFit="1" customWidth="1"/>
    <col min="695" max="695" width="15" style="6" bestFit="1" customWidth="1"/>
    <col min="696" max="696" width="2" style="6" customWidth="1"/>
    <col min="697" max="697" width="17" style="6" bestFit="1" customWidth="1"/>
    <col min="698" max="698" width="16.6640625" style="6" bestFit="1" customWidth="1"/>
    <col min="699" max="699" width="17.33203125" style="6" bestFit="1" customWidth="1"/>
    <col min="700" max="700" width="16" style="6" bestFit="1" customWidth="1"/>
    <col min="701" max="701" width="17" style="6" customWidth="1"/>
    <col min="702" max="702" width="2" style="6" customWidth="1"/>
    <col min="703" max="703" width="16.33203125" style="6" bestFit="1" customWidth="1"/>
    <col min="704" max="704" width="18.88671875" style="6" bestFit="1" customWidth="1"/>
    <col min="705" max="705" width="16" style="6" bestFit="1" customWidth="1"/>
    <col min="706" max="706" width="16.33203125" style="6" bestFit="1" customWidth="1"/>
    <col min="707" max="707" width="15" style="6" bestFit="1" customWidth="1"/>
    <col min="708" max="708" width="2" style="6" customWidth="1"/>
    <col min="709" max="710" width="17" style="6" bestFit="1" customWidth="1"/>
    <col min="711" max="711" width="17.33203125" style="6" bestFit="1" customWidth="1"/>
    <col min="712" max="712" width="16" style="6" bestFit="1" customWidth="1"/>
    <col min="713" max="713" width="17" style="6" bestFit="1" customWidth="1"/>
    <col min="714" max="714" width="2.33203125" style="6" customWidth="1"/>
    <col min="715" max="715" width="17" style="6" customWidth="1"/>
    <col min="716" max="716" width="17" style="6" bestFit="1" customWidth="1"/>
    <col min="717" max="717" width="17.33203125" style="6" bestFit="1" customWidth="1"/>
    <col min="718" max="718" width="16" style="6" bestFit="1" customWidth="1"/>
    <col min="719" max="719" width="17" style="6" bestFit="1" customWidth="1"/>
    <col min="720" max="720" width="3" style="6" customWidth="1"/>
    <col min="721" max="721" width="16" style="6" bestFit="1" customWidth="1"/>
    <col min="722" max="722" width="17" style="6" bestFit="1" customWidth="1"/>
    <col min="723" max="723" width="17.33203125" style="6" bestFit="1" customWidth="1"/>
    <col min="724" max="724" width="16" style="6" bestFit="1" customWidth="1"/>
    <col min="725" max="725" width="17" style="6" bestFit="1" customWidth="1"/>
    <col min="726" max="726" width="3" style="6" customWidth="1"/>
    <col min="727" max="728" width="17.88671875" style="6" bestFit="1" customWidth="1"/>
    <col min="729" max="729" width="17.33203125" style="6" bestFit="1" customWidth="1"/>
    <col min="730" max="730" width="17.88671875" style="6" bestFit="1" customWidth="1"/>
    <col min="731" max="731" width="17" style="6" bestFit="1" customWidth="1"/>
    <col min="732" max="732" width="17.6640625" style="6" bestFit="1" customWidth="1"/>
    <col min="733" max="733" width="2" style="6" customWidth="1"/>
    <col min="734" max="734" width="19.88671875" style="6" bestFit="1" customWidth="1"/>
    <col min="735" max="735" width="18.88671875" style="6" bestFit="1" customWidth="1"/>
    <col min="736" max="736" width="19.5546875" style="6" bestFit="1" customWidth="1"/>
    <col min="737" max="908" width="11.44140625" style="6"/>
    <col min="909" max="909" width="18.6640625" style="6" customWidth="1"/>
    <col min="910" max="910" width="38.5546875" style="6" customWidth="1"/>
    <col min="911" max="911" width="21.5546875" style="6" bestFit="1" customWidth="1"/>
    <col min="912" max="912" width="20.44140625" style="6" bestFit="1" customWidth="1"/>
    <col min="913" max="913" width="17.33203125" style="6" bestFit="1" customWidth="1"/>
    <col min="914" max="914" width="18.33203125" style="6" bestFit="1" customWidth="1"/>
    <col min="915" max="915" width="17.44140625" style="6" bestFit="1" customWidth="1"/>
    <col min="916" max="916" width="1.44140625" style="6" customWidth="1"/>
    <col min="917" max="917" width="17.33203125" style="6" customWidth="1"/>
    <col min="918" max="918" width="17.88671875" style="6" bestFit="1" customWidth="1"/>
    <col min="919" max="919" width="17.33203125" style="6" customWidth="1"/>
    <col min="920" max="920" width="17.88671875" style="6" bestFit="1" customWidth="1"/>
    <col min="921" max="921" width="17" style="6" bestFit="1" customWidth="1"/>
    <col min="922" max="922" width="1.6640625" style="6" customWidth="1"/>
    <col min="923" max="923" width="17.33203125" style="6" bestFit="1" customWidth="1"/>
    <col min="924" max="924" width="17.88671875" style="6" bestFit="1" customWidth="1"/>
    <col min="925" max="925" width="17.33203125" style="6" bestFit="1" customWidth="1"/>
    <col min="926" max="926" width="17.88671875" style="6" bestFit="1" customWidth="1"/>
    <col min="927" max="927" width="17" style="6" bestFit="1" customWidth="1"/>
    <col min="928" max="928" width="2" style="6" customWidth="1"/>
    <col min="929" max="930" width="17" style="6" bestFit="1" customWidth="1"/>
    <col min="931" max="931" width="17.33203125" style="6" bestFit="1" customWidth="1"/>
    <col min="932" max="932" width="16" style="6" customWidth="1"/>
    <col min="933" max="933" width="17" style="6" bestFit="1" customWidth="1"/>
    <col min="934" max="934" width="2" style="6" customWidth="1"/>
    <col min="935" max="936" width="17" style="6" bestFit="1" customWidth="1"/>
    <col min="937" max="937" width="17.33203125" style="6" bestFit="1" customWidth="1"/>
    <col min="938" max="938" width="16" style="6" customWidth="1"/>
    <col min="939" max="939" width="17" style="6" bestFit="1" customWidth="1"/>
    <col min="940" max="940" width="2" style="6" customWidth="1"/>
    <col min="941" max="941" width="17" style="6" bestFit="1" customWidth="1"/>
    <col min="942" max="942" width="25.5546875" style="6" customWidth="1"/>
    <col min="943" max="943" width="19.109375" style="6" customWidth="1"/>
    <col min="944" max="944" width="16" style="6" customWidth="1"/>
    <col min="945" max="945" width="17" style="6" bestFit="1" customWidth="1"/>
    <col min="946" max="946" width="2" style="6" customWidth="1"/>
    <col min="947" max="947" width="16" style="6" bestFit="1" customWidth="1"/>
    <col min="948" max="948" width="16.33203125" style="6" bestFit="1" customWidth="1"/>
    <col min="949" max="949" width="15.6640625" style="6" bestFit="1" customWidth="1"/>
    <col min="950" max="950" width="16.33203125" style="6" bestFit="1" customWidth="1"/>
    <col min="951" max="951" width="15" style="6" bestFit="1" customWidth="1"/>
    <col min="952" max="952" width="2" style="6" customWidth="1"/>
    <col min="953" max="953" width="17" style="6" bestFit="1" customWidth="1"/>
    <col min="954" max="954" width="16.6640625" style="6" bestFit="1" customWidth="1"/>
    <col min="955" max="955" width="17.33203125" style="6" bestFit="1" customWidth="1"/>
    <col min="956" max="956" width="16" style="6" bestFit="1" customWidth="1"/>
    <col min="957" max="957" width="17" style="6" customWidth="1"/>
    <col min="958" max="958" width="2" style="6" customWidth="1"/>
    <col min="959" max="959" width="16.33203125" style="6" bestFit="1" customWidth="1"/>
    <col min="960" max="960" width="18.88671875" style="6" bestFit="1" customWidth="1"/>
    <col min="961" max="961" width="16" style="6" bestFit="1" customWidth="1"/>
    <col min="962" max="962" width="16.33203125" style="6" bestFit="1" customWidth="1"/>
    <col min="963" max="963" width="15" style="6" bestFit="1" customWidth="1"/>
    <col min="964" max="964" width="2" style="6" customWidth="1"/>
    <col min="965" max="966" width="17" style="6" bestFit="1" customWidth="1"/>
    <col min="967" max="967" width="17.33203125" style="6" bestFit="1" customWidth="1"/>
    <col min="968" max="968" width="16" style="6" bestFit="1" customWidth="1"/>
    <col min="969" max="969" width="17" style="6" bestFit="1" customWidth="1"/>
    <col min="970" max="970" width="2.33203125" style="6" customWidth="1"/>
    <col min="971" max="971" width="17" style="6" customWidth="1"/>
    <col min="972" max="972" width="17" style="6" bestFit="1" customWidth="1"/>
    <col min="973" max="973" width="17.33203125" style="6" bestFit="1" customWidth="1"/>
    <col min="974" max="974" width="16" style="6" bestFit="1" customWidth="1"/>
    <col min="975" max="975" width="17" style="6" bestFit="1" customWidth="1"/>
    <col min="976" max="976" width="3" style="6" customWidth="1"/>
    <col min="977" max="977" width="16" style="6" bestFit="1" customWidth="1"/>
    <col min="978" max="978" width="17" style="6" bestFit="1" customWidth="1"/>
    <col min="979" max="979" width="17.33203125" style="6" bestFit="1" customWidth="1"/>
    <col min="980" max="980" width="16" style="6" bestFit="1" customWidth="1"/>
    <col min="981" max="981" width="17" style="6" bestFit="1" customWidth="1"/>
    <col min="982" max="982" width="3" style="6" customWidth="1"/>
    <col min="983" max="984" width="17.88671875" style="6" bestFit="1" customWidth="1"/>
    <col min="985" max="985" width="17.33203125" style="6" bestFit="1" customWidth="1"/>
    <col min="986" max="986" width="17.88671875" style="6" bestFit="1" customWidth="1"/>
    <col min="987" max="987" width="17" style="6" bestFit="1" customWidth="1"/>
    <col min="988" max="988" width="17.6640625" style="6" bestFit="1" customWidth="1"/>
    <col min="989" max="989" width="2" style="6" customWidth="1"/>
    <col min="990" max="990" width="19.88671875" style="6" bestFit="1" customWidth="1"/>
    <col min="991" max="991" width="18.88671875" style="6" bestFit="1" customWidth="1"/>
    <col min="992" max="992" width="19.5546875" style="6" bestFit="1" customWidth="1"/>
    <col min="993" max="1164" width="11.44140625" style="6"/>
    <col min="1165" max="1165" width="18.6640625" style="6" customWidth="1"/>
    <col min="1166" max="1166" width="38.5546875" style="6" customWidth="1"/>
    <col min="1167" max="1167" width="21.5546875" style="6" bestFit="1" customWidth="1"/>
    <col min="1168" max="1168" width="20.44140625" style="6" bestFit="1" customWidth="1"/>
    <col min="1169" max="1169" width="17.33203125" style="6" bestFit="1" customWidth="1"/>
    <col min="1170" max="1170" width="18.33203125" style="6" bestFit="1" customWidth="1"/>
    <col min="1171" max="1171" width="17.44140625" style="6" bestFit="1" customWidth="1"/>
    <col min="1172" max="1172" width="1.44140625" style="6" customWidth="1"/>
    <col min="1173" max="1173" width="17.33203125" style="6" customWidth="1"/>
    <col min="1174" max="1174" width="17.88671875" style="6" bestFit="1" customWidth="1"/>
    <col min="1175" max="1175" width="17.33203125" style="6" customWidth="1"/>
    <col min="1176" max="1176" width="17.88671875" style="6" bestFit="1" customWidth="1"/>
    <col min="1177" max="1177" width="17" style="6" bestFit="1" customWidth="1"/>
    <col min="1178" max="1178" width="1.6640625" style="6" customWidth="1"/>
    <col min="1179" max="1179" width="17.33203125" style="6" bestFit="1" customWidth="1"/>
    <col min="1180" max="1180" width="17.88671875" style="6" bestFit="1" customWidth="1"/>
    <col min="1181" max="1181" width="17.33203125" style="6" bestFit="1" customWidth="1"/>
    <col min="1182" max="1182" width="17.88671875" style="6" bestFit="1" customWidth="1"/>
    <col min="1183" max="1183" width="17" style="6" bestFit="1" customWidth="1"/>
    <col min="1184" max="1184" width="2" style="6" customWidth="1"/>
    <col min="1185" max="1186" width="17" style="6" bestFit="1" customWidth="1"/>
    <col min="1187" max="1187" width="17.33203125" style="6" bestFit="1" customWidth="1"/>
    <col min="1188" max="1188" width="16" style="6" customWidth="1"/>
    <col min="1189" max="1189" width="17" style="6" bestFit="1" customWidth="1"/>
    <col min="1190" max="1190" width="2" style="6" customWidth="1"/>
    <col min="1191" max="1192" width="17" style="6" bestFit="1" customWidth="1"/>
    <col min="1193" max="1193" width="17.33203125" style="6" bestFit="1" customWidth="1"/>
    <col min="1194" max="1194" width="16" style="6" customWidth="1"/>
    <col min="1195" max="1195" width="17" style="6" bestFit="1" customWidth="1"/>
    <col min="1196" max="1196" width="2" style="6" customWidth="1"/>
    <col min="1197" max="1197" width="17" style="6" bestFit="1" customWidth="1"/>
    <col min="1198" max="1198" width="25.5546875" style="6" customWidth="1"/>
    <col min="1199" max="1199" width="19.109375" style="6" customWidth="1"/>
    <col min="1200" max="1200" width="16" style="6" customWidth="1"/>
    <col min="1201" max="1201" width="17" style="6" bestFit="1" customWidth="1"/>
    <col min="1202" max="1202" width="2" style="6" customWidth="1"/>
    <col min="1203" max="1203" width="16" style="6" bestFit="1" customWidth="1"/>
    <col min="1204" max="1204" width="16.33203125" style="6" bestFit="1" customWidth="1"/>
    <col min="1205" max="1205" width="15.6640625" style="6" bestFit="1" customWidth="1"/>
    <col min="1206" max="1206" width="16.33203125" style="6" bestFit="1" customWidth="1"/>
    <col min="1207" max="1207" width="15" style="6" bestFit="1" customWidth="1"/>
    <col min="1208" max="1208" width="2" style="6" customWidth="1"/>
    <col min="1209" max="1209" width="17" style="6" bestFit="1" customWidth="1"/>
    <col min="1210" max="1210" width="16.6640625" style="6" bestFit="1" customWidth="1"/>
    <col min="1211" max="1211" width="17.33203125" style="6" bestFit="1" customWidth="1"/>
    <col min="1212" max="1212" width="16" style="6" bestFit="1" customWidth="1"/>
    <col min="1213" max="1213" width="17" style="6" customWidth="1"/>
    <col min="1214" max="1214" width="2" style="6" customWidth="1"/>
    <col min="1215" max="1215" width="16.33203125" style="6" bestFit="1" customWidth="1"/>
    <col min="1216" max="1216" width="18.88671875" style="6" bestFit="1" customWidth="1"/>
    <col min="1217" max="1217" width="16" style="6" bestFit="1" customWidth="1"/>
    <col min="1218" max="1218" width="16.33203125" style="6" bestFit="1" customWidth="1"/>
    <col min="1219" max="1219" width="15" style="6" bestFit="1" customWidth="1"/>
    <col min="1220" max="1220" width="2" style="6" customWidth="1"/>
    <col min="1221" max="1222" width="17" style="6" bestFit="1" customWidth="1"/>
    <col min="1223" max="1223" width="17.33203125" style="6" bestFit="1" customWidth="1"/>
    <col min="1224" max="1224" width="16" style="6" bestFit="1" customWidth="1"/>
    <col min="1225" max="1225" width="17" style="6" bestFit="1" customWidth="1"/>
    <col min="1226" max="1226" width="2.33203125" style="6" customWidth="1"/>
    <col min="1227" max="1227" width="17" style="6" customWidth="1"/>
    <col min="1228" max="1228" width="17" style="6" bestFit="1" customWidth="1"/>
    <col min="1229" max="1229" width="17.33203125" style="6" bestFit="1" customWidth="1"/>
    <col min="1230" max="1230" width="16" style="6" bestFit="1" customWidth="1"/>
    <col min="1231" max="1231" width="17" style="6" bestFit="1" customWidth="1"/>
    <col min="1232" max="1232" width="3" style="6" customWidth="1"/>
    <col min="1233" max="1233" width="16" style="6" bestFit="1" customWidth="1"/>
    <col min="1234" max="1234" width="17" style="6" bestFit="1" customWidth="1"/>
    <col min="1235" max="1235" width="17.33203125" style="6" bestFit="1" customWidth="1"/>
    <col min="1236" max="1236" width="16" style="6" bestFit="1" customWidth="1"/>
    <col min="1237" max="1237" width="17" style="6" bestFit="1" customWidth="1"/>
    <col min="1238" max="1238" width="3" style="6" customWidth="1"/>
    <col min="1239" max="1240" width="17.88671875" style="6" bestFit="1" customWidth="1"/>
    <col min="1241" max="1241" width="17.33203125" style="6" bestFit="1" customWidth="1"/>
    <col min="1242" max="1242" width="17.88671875" style="6" bestFit="1" customWidth="1"/>
    <col min="1243" max="1243" width="17" style="6" bestFit="1" customWidth="1"/>
    <col min="1244" max="1244" width="17.6640625" style="6" bestFit="1" customWidth="1"/>
    <col min="1245" max="1245" width="2" style="6" customWidth="1"/>
    <col min="1246" max="1246" width="19.88671875" style="6" bestFit="1" customWidth="1"/>
    <col min="1247" max="1247" width="18.88671875" style="6" bestFit="1" customWidth="1"/>
    <col min="1248" max="1248" width="19.5546875" style="6" bestFit="1" customWidth="1"/>
    <col min="1249" max="1420" width="11.44140625" style="6"/>
    <col min="1421" max="1421" width="18.6640625" style="6" customWidth="1"/>
    <col min="1422" max="1422" width="38.5546875" style="6" customWidth="1"/>
    <col min="1423" max="1423" width="21.5546875" style="6" bestFit="1" customWidth="1"/>
    <col min="1424" max="1424" width="20.44140625" style="6" bestFit="1" customWidth="1"/>
    <col min="1425" max="1425" width="17.33203125" style="6" bestFit="1" customWidth="1"/>
    <col min="1426" max="1426" width="18.33203125" style="6" bestFit="1" customWidth="1"/>
    <col min="1427" max="1427" width="17.44140625" style="6" bestFit="1" customWidth="1"/>
    <col min="1428" max="1428" width="1.44140625" style="6" customWidth="1"/>
    <col min="1429" max="1429" width="17.33203125" style="6" customWidth="1"/>
    <col min="1430" max="1430" width="17.88671875" style="6" bestFit="1" customWidth="1"/>
    <col min="1431" max="1431" width="17.33203125" style="6" customWidth="1"/>
    <col min="1432" max="1432" width="17.88671875" style="6" bestFit="1" customWidth="1"/>
    <col min="1433" max="1433" width="17" style="6" bestFit="1" customWidth="1"/>
    <col min="1434" max="1434" width="1.6640625" style="6" customWidth="1"/>
    <col min="1435" max="1435" width="17.33203125" style="6" bestFit="1" customWidth="1"/>
    <col min="1436" max="1436" width="17.88671875" style="6" bestFit="1" customWidth="1"/>
    <col min="1437" max="1437" width="17.33203125" style="6" bestFit="1" customWidth="1"/>
    <col min="1438" max="1438" width="17.88671875" style="6" bestFit="1" customWidth="1"/>
    <col min="1439" max="1439" width="17" style="6" bestFit="1" customWidth="1"/>
    <col min="1440" max="1440" width="2" style="6" customWidth="1"/>
    <col min="1441" max="1442" width="17" style="6" bestFit="1" customWidth="1"/>
    <col min="1443" max="1443" width="17.33203125" style="6" bestFit="1" customWidth="1"/>
    <col min="1444" max="1444" width="16" style="6" customWidth="1"/>
    <col min="1445" max="1445" width="17" style="6" bestFit="1" customWidth="1"/>
    <col min="1446" max="1446" width="2" style="6" customWidth="1"/>
    <col min="1447" max="1448" width="17" style="6" bestFit="1" customWidth="1"/>
    <col min="1449" max="1449" width="17.33203125" style="6" bestFit="1" customWidth="1"/>
    <col min="1450" max="1450" width="16" style="6" customWidth="1"/>
    <col min="1451" max="1451" width="17" style="6" bestFit="1" customWidth="1"/>
    <col min="1452" max="1452" width="2" style="6" customWidth="1"/>
    <col min="1453" max="1453" width="17" style="6" bestFit="1" customWidth="1"/>
    <col min="1454" max="1454" width="25.5546875" style="6" customWidth="1"/>
    <col min="1455" max="1455" width="19.109375" style="6" customWidth="1"/>
    <col min="1456" max="1456" width="16" style="6" customWidth="1"/>
    <col min="1457" max="1457" width="17" style="6" bestFit="1" customWidth="1"/>
    <col min="1458" max="1458" width="2" style="6" customWidth="1"/>
    <col min="1459" max="1459" width="16" style="6" bestFit="1" customWidth="1"/>
    <col min="1460" max="1460" width="16.33203125" style="6" bestFit="1" customWidth="1"/>
    <col min="1461" max="1461" width="15.6640625" style="6" bestFit="1" customWidth="1"/>
    <col min="1462" max="1462" width="16.33203125" style="6" bestFit="1" customWidth="1"/>
    <col min="1463" max="1463" width="15" style="6" bestFit="1" customWidth="1"/>
    <col min="1464" max="1464" width="2" style="6" customWidth="1"/>
    <col min="1465" max="1465" width="17" style="6" bestFit="1" customWidth="1"/>
    <col min="1466" max="1466" width="16.6640625" style="6" bestFit="1" customWidth="1"/>
    <col min="1467" max="1467" width="17.33203125" style="6" bestFit="1" customWidth="1"/>
    <col min="1468" max="1468" width="16" style="6" bestFit="1" customWidth="1"/>
    <col min="1469" max="1469" width="17" style="6" customWidth="1"/>
    <col min="1470" max="1470" width="2" style="6" customWidth="1"/>
    <col min="1471" max="1471" width="16.33203125" style="6" bestFit="1" customWidth="1"/>
    <col min="1472" max="1472" width="18.88671875" style="6" bestFit="1" customWidth="1"/>
    <col min="1473" max="1473" width="16" style="6" bestFit="1" customWidth="1"/>
    <col min="1474" max="1474" width="16.33203125" style="6" bestFit="1" customWidth="1"/>
    <col min="1475" max="1475" width="15" style="6" bestFit="1" customWidth="1"/>
    <col min="1476" max="1476" width="2" style="6" customWidth="1"/>
    <col min="1477" max="1478" width="17" style="6" bestFit="1" customWidth="1"/>
    <col min="1479" max="1479" width="17.33203125" style="6" bestFit="1" customWidth="1"/>
    <col min="1480" max="1480" width="16" style="6" bestFit="1" customWidth="1"/>
    <col min="1481" max="1481" width="17" style="6" bestFit="1" customWidth="1"/>
    <col min="1482" max="1482" width="2.33203125" style="6" customWidth="1"/>
    <col min="1483" max="1483" width="17" style="6" customWidth="1"/>
    <col min="1484" max="1484" width="17" style="6" bestFit="1" customWidth="1"/>
    <col min="1485" max="1485" width="17.33203125" style="6" bestFit="1" customWidth="1"/>
    <col min="1486" max="1486" width="16" style="6" bestFit="1" customWidth="1"/>
    <col min="1487" max="1487" width="17" style="6" bestFit="1" customWidth="1"/>
    <col min="1488" max="1488" width="3" style="6" customWidth="1"/>
    <col min="1489" max="1489" width="16" style="6" bestFit="1" customWidth="1"/>
    <col min="1490" max="1490" width="17" style="6" bestFit="1" customWidth="1"/>
    <col min="1491" max="1491" width="17.33203125" style="6" bestFit="1" customWidth="1"/>
    <col min="1492" max="1492" width="16" style="6" bestFit="1" customWidth="1"/>
    <col min="1493" max="1493" width="17" style="6" bestFit="1" customWidth="1"/>
    <col min="1494" max="1494" width="3" style="6" customWidth="1"/>
    <col min="1495" max="1496" width="17.88671875" style="6" bestFit="1" customWidth="1"/>
    <col min="1497" max="1497" width="17.33203125" style="6" bestFit="1" customWidth="1"/>
    <col min="1498" max="1498" width="17.88671875" style="6" bestFit="1" customWidth="1"/>
    <col min="1499" max="1499" width="17" style="6" bestFit="1" customWidth="1"/>
    <col min="1500" max="1500" width="17.6640625" style="6" bestFit="1" customWidth="1"/>
    <col min="1501" max="1501" width="2" style="6" customWidth="1"/>
    <col min="1502" max="1502" width="19.88671875" style="6" bestFit="1" customWidth="1"/>
    <col min="1503" max="1503" width="18.88671875" style="6" bestFit="1" customWidth="1"/>
    <col min="1504" max="1504" width="19.5546875" style="6" bestFit="1" customWidth="1"/>
    <col min="1505" max="1676" width="11.44140625" style="6"/>
    <col min="1677" max="1677" width="18.6640625" style="6" customWidth="1"/>
    <col min="1678" max="1678" width="38.5546875" style="6" customWidth="1"/>
    <col min="1679" max="1679" width="21.5546875" style="6" bestFit="1" customWidth="1"/>
    <col min="1680" max="1680" width="20.44140625" style="6" bestFit="1" customWidth="1"/>
    <col min="1681" max="1681" width="17.33203125" style="6" bestFit="1" customWidth="1"/>
    <col min="1682" max="1682" width="18.33203125" style="6" bestFit="1" customWidth="1"/>
    <col min="1683" max="1683" width="17.44140625" style="6" bestFit="1" customWidth="1"/>
    <col min="1684" max="1684" width="1.44140625" style="6" customWidth="1"/>
    <col min="1685" max="1685" width="17.33203125" style="6" customWidth="1"/>
    <col min="1686" max="1686" width="17.88671875" style="6" bestFit="1" customWidth="1"/>
    <col min="1687" max="1687" width="17.33203125" style="6" customWidth="1"/>
    <col min="1688" max="1688" width="17.88671875" style="6" bestFit="1" customWidth="1"/>
    <col min="1689" max="1689" width="17" style="6" bestFit="1" customWidth="1"/>
    <col min="1690" max="1690" width="1.6640625" style="6" customWidth="1"/>
    <col min="1691" max="1691" width="17.33203125" style="6" bestFit="1" customWidth="1"/>
    <col min="1692" max="1692" width="17.88671875" style="6" bestFit="1" customWidth="1"/>
    <col min="1693" max="1693" width="17.33203125" style="6" bestFit="1" customWidth="1"/>
    <col min="1694" max="1694" width="17.88671875" style="6" bestFit="1" customWidth="1"/>
    <col min="1695" max="1695" width="17" style="6" bestFit="1" customWidth="1"/>
    <col min="1696" max="1696" width="2" style="6" customWidth="1"/>
    <col min="1697" max="1698" width="17" style="6" bestFit="1" customWidth="1"/>
    <col min="1699" max="1699" width="17.33203125" style="6" bestFit="1" customWidth="1"/>
    <col min="1700" max="1700" width="16" style="6" customWidth="1"/>
    <col min="1701" max="1701" width="17" style="6" bestFit="1" customWidth="1"/>
    <col min="1702" max="1702" width="2" style="6" customWidth="1"/>
    <col min="1703" max="1704" width="17" style="6" bestFit="1" customWidth="1"/>
    <col min="1705" max="1705" width="17.33203125" style="6" bestFit="1" customWidth="1"/>
    <col min="1706" max="1706" width="16" style="6" customWidth="1"/>
    <col min="1707" max="1707" width="17" style="6" bestFit="1" customWidth="1"/>
    <col min="1708" max="1708" width="2" style="6" customWidth="1"/>
    <col min="1709" max="1709" width="17" style="6" bestFit="1" customWidth="1"/>
    <col min="1710" max="1710" width="25.5546875" style="6" customWidth="1"/>
    <col min="1711" max="1711" width="19.109375" style="6" customWidth="1"/>
    <col min="1712" max="1712" width="16" style="6" customWidth="1"/>
    <col min="1713" max="1713" width="17" style="6" bestFit="1" customWidth="1"/>
    <col min="1714" max="1714" width="2" style="6" customWidth="1"/>
    <col min="1715" max="1715" width="16" style="6" bestFit="1" customWidth="1"/>
    <col min="1716" max="1716" width="16.33203125" style="6" bestFit="1" customWidth="1"/>
    <col min="1717" max="1717" width="15.6640625" style="6" bestFit="1" customWidth="1"/>
    <col min="1718" max="1718" width="16.33203125" style="6" bestFit="1" customWidth="1"/>
    <col min="1719" max="1719" width="15" style="6" bestFit="1" customWidth="1"/>
    <col min="1720" max="1720" width="2" style="6" customWidth="1"/>
    <col min="1721" max="1721" width="17" style="6" bestFit="1" customWidth="1"/>
    <col min="1722" max="1722" width="16.6640625" style="6" bestFit="1" customWidth="1"/>
    <col min="1723" max="1723" width="17.33203125" style="6" bestFit="1" customWidth="1"/>
    <col min="1724" max="1724" width="16" style="6" bestFit="1" customWidth="1"/>
    <col min="1725" max="1725" width="17" style="6" customWidth="1"/>
    <col min="1726" max="1726" width="2" style="6" customWidth="1"/>
    <col min="1727" max="1727" width="16.33203125" style="6" bestFit="1" customWidth="1"/>
    <col min="1728" max="1728" width="18.88671875" style="6" bestFit="1" customWidth="1"/>
    <col min="1729" max="1729" width="16" style="6" bestFit="1" customWidth="1"/>
    <col min="1730" max="1730" width="16.33203125" style="6" bestFit="1" customWidth="1"/>
    <col min="1731" max="1731" width="15" style="6" bestFit="1" customWidth="1"/>
    <col min="1732" max="1732" width="2" style="6" customWidth="1"/>
    <col min="1733" max="1734" width="17" style="6" bestFit="1" customWidth="1"/>
    <col min="1735" max="1735" width="17.33203125" style="6" bestFit="1" customWidth="1"/>
    <col min="1736" max="1736" width="16" style="6" bestFit="1" customWidth="1"/>
    <col min="1737" max="1737" width="17" style="6" bestFit="1" customWidth="1"/>
    <col min="1738" max="1738" width="2.33203125" style="6" customWidth="1"/>
    <col min="1739" max="1739" width="17" style="6" customWidth="1"/>
    <col min="1740" max="1740" width="17" style="6" bestFit="1" customWidth="1"/>
    <col min="1741" max="1741" width="17.33203125" style="6" bestFit="1" customWidth="1"/>
    <col min="1742" max="1742" width="16" style="6" bestFit="1" customWidth="1"/>
    <col min="1743" max="1743" width="17" style="6" bestFit="1" customWidth="1"/>
    <col min="1744" max="1744" width="3" style="6" customWidth="1"/>
    <col min="1745" max="1745" width="16" style="6" bestFit="1" customWidth="1"/>
    <col min="1746" max="1746" width="17" style="6" bestFit="1" customWidth="1"/>
    <col min="1747" max="1747" width="17.33203125" style="6" bestFit="1" customWidth="1"/>
    <col min="1748" max="1748" width="16" style="6" bestFit="1" customWidth="1"/>
    <col min="1749" max="1749" width="17" style="6" bestFit="1" customWidth="1"/>
    <col min="1750" max="1750" width="3" style="6" customWidth="1"/>
    <col min="1751" max="1752" width="17.88671875" style="6" bestFit="1" customWidth="1"/>
    <col min="1753" max="1753" width="17.33203125" style="6" bestFit="1" customWidth="1"/>
    <col min="1754" max="1754" width="17.88671875" style="6" bestFit="1" customWidth="1"/>
    <col min="1755" max="1755" width="17" style="6" bestFit="1" customWidth="1"/>
    <col min="1756" max="1756" width="17.6640625" style="6" bestFit="1" customWidth="1"/>
    <col min="1757" max="1757" width="2" style="6" customWidth="1"/>
    <col min="1758" max="1758" width="19.88671875" style="6" bestFit="1" customWidth="1"/>
    <col min="1759" max="1759" width="18.88671875" style="6" bestFit="1" customWidth="1"/>
    <col min="1760" max="1760" width="19.5546875" style="6" bestFit="1" customWidth="1"/>
    <col min="1761" max="1932" width="11.44140625" style="6"/>
    <col min="1933" max="1933" width="18.6640625" style="6" customWidth="1"/>
    <col min="1934" max="1934" width="38.5546875" style="6" customWidth="1"/>
    <col min="1935" max="1935" width="21.5546875" style="6" bestFit="1" customWidth="1"/>
    <col min="1936" max="1936" width="20.44140625" style="6" bestFit="1" customWidth="1"/>
    <col min="1937" max="1937" width="17.33203125" style="6" bestFit="1" customWidth="1"/>
    <col min="1938" max="1938" width="18.33203125" style="6" bestFit="1" customWidth="1"/>
    <col min="1939" max="1939" width="17.44140625" style="6" bestFit="1" customWidth="1"/>
    <col min="1940" max="1940" width="1.44140625" style="6" customWidth="1"/>
    <col min="1941" max="1941" width="17.33203125" style="6" customWidth="1"/>
    <col min="1942" max="1942" width="17.88671875" style="6" bestFit="1" customWidth="1"/>
    <col min="1943" max="1943" width="17.33203125" style="6" customWidth="1"/>
    <col min="1944" max="1944" width="17.88671875" style="6" bestFit="1" customWidth="1"/>
    <col min="1945" max="1945" width="17" style="6" bestFit="1" customWidth="1"/>
    <col min="1946" max="1946" width="1.6640625" style="6" customWidth="1"/>
    <col min="1947" max="1947" width="17.33203125" style="6" bestFit="1" customWidth="1"/>
    <col min="1948" max="1948" width="17.88671875" style="6" bestFit="1" customWidth="1"/>
    <col min="1949" max="1949" width="17.33203125" style="6" bestFit="1" customWidth="1"/>
    <col min="1950" max="1950" width="17.88671875" style="6" bestFit="1" customWidth="1"/>
    <col min="1951" max="1951" width="17" style="6" bestFit="1" customWidth="1"/>
    <col min="1952" max="1952" width="2" style="6" customWidth="1"/>
    <col min="1953" max="1954" width="17" style="6" bestFit="1" customWidth="1"/>
    <col min="1955" max="1955" width="17.33203125" style="6" bestFit="1" customWidth="1"/>
    <col min="1956" max="1956" width="16" style="6" customWidth="1"/>
    <col min="1957" max="1957" width="17" style="6" bestFit="1" customWidth="1"/>
    <col min="1958" max="1958" width="2" style="6" customWidth="1"/>
    <col min="1959" max="1960" width="17" style="6" bestFit="1" customWidth="1"/>
    <col min="1961" max="1961" width="17.33203125" style="6" bestFit="1" customWidth="1"/>
    <col min="1962" max="1962" width="16" style="6" customWidth="1"/>
    <col min="1963" max="1963" width="17" style="6" bestFit="1" customWidth="1"/>
    <col min="1964" max="1964" width="2" style="6" customWidth="1"/>
    <col min="1965" max="1965" width="17" style="6" bestFit="1" customWidth="1"/>
    <col min="1966" max="1966" width="25.5546875" style="6" customWidth="1"/>
    <col min="1967" max="1967" width="19.109375" style="6" customWidth="1"/>
    <col min="1968" max="1968" width="16" style="6" customWidth="1"/>
    <col min="1969" max="1969" width="17" style="6" bestFit="1" customWidth="1"/>
    <col min="1970" max="1970" width="2" style="6" customWidth="1"/>
    <col min="1971" max="1971" width="16" style="6" bestFit="1" customWidth="1"/>
    <col min="1972" max="1972" width="16.33203125" style="6" bestFit="1" customWidth="1"/>
    <col min="1973" max="1973" width="15.6640625" style="6" bestFit="1" customWidth="1"/>
    <col min="1974" max="1974" width="16.33203125" style="6" bestFit="1" customWidth="1"/>
    <col min="1975" max="1975" width="15" style="6" bestFit="1" customWidth="1"/>
    <col min="1976" max="1976" width="2" style="6" customWidth="1"/>
    <col min="1977" max="1977" width="17" style="6" bestFit="1" customWidth="1"/>
    <col min="1978" max="1978" width="16.6640625" style="6" bestFit="1" customWidth="1"/>
    <col min="1979" max="1979" width="17.33203125" style="6" bestFit="1" customWidth="1"/>
    <col min="1980" max="1980" width="16" style="6" bestFit="1" customWidth="1"/>
    <col min="1981" max="1981" width="17" style="6" customWidth="1"/>
    <col min="1982" max="1982" width="2" style="6" customWidth="1"/>
    <col min="1983" max="1983" width="16.33203125" style="6" bestFit="1" customWidth="1"/>
    <col min="1984" max="1984" width="18.88671875" style="6" bestFit="1" customWidth="1"/>
    <col min="1985" max="1985" width="16" style="6" bestFit="1" customWidth="1"/>
    <col min="1986" max="1986" width="16.33203125" style="6" bestFit="1" customWidth="1"/>
    <col min="1987" max="1987" width="15" style="6" bestFit="1" customWidth="1"/>
    <col min="1988" max="1988" width="2" style="6" customWidth="1"/>
    <col min="1989" max="1990" width="17" style="6" bestFit="1" customWidth="1"/>
    <col min="1991" max="1991" width="17.33203125" style="6" bestFit="1" customWidth="1"/>
    <col min="1992" max="1992" width="16" style="6" bestFit="1" customWidth="1"/>
    <col min="1993" max="1993" width="17" style="6" bestFit="1" customWidth="1"/>
    <col min="1994" max="1994" width="2.33203125" style="6" customWidth="1"/>
    <col min="1995" max="1995" width="17" style="6" customWidth="1"/>
    <col min="1996" max="1996" width="17" style="6" bestFit="1" customWidth="1"/>
    <col min="1997" max="1997" width="17.33203125" style="6" bestFit="1" customWidth="1"/>
    <col min="1998" max="1998" width="16" style="6" bestFit="1" customWidth="1"/>
    <col min="1999" max="1999" width="17" style="6" bestFit="1" customWidth="1"/>
    <col min="2000" max="2000" width="3" style="6" customWidth="1"/>
    <col min="2001" max="2001" width="16" style="6" bestFit="1" customWidth="1"/>
    <col min="2002" max="2002" width="17" style="6" bestFit="1" customWidth="1"/>
    <col min="2003" max="2003" width="17.33203125" style="6" bestFit="1" customWidth="1"/>
    <col min="2004" max="2004" width="16" style="6" bestFit="1" customWidth="1"/>
    <col min="2005" max="2005" width="17" style="6" bestFit="1" customWidth="1"/>
    <col min="2006" max="2006" width="3" style="6" customWidth="1"/>
    <col min="2007" max="2008" width="17.88671875" style="6" bestFit="1" customWidth="1"/>
    <col min="2009" max="2009" width="17.33203125" style="6" bestFit="1" customWidth="1"/>
    <col min="2010" max="2010" width="17.88671875" style="6" bestFit="1" customWidth="1"/>
    <col min="2011" max="2011" width="17" style="6" bestFit="1" customWidth="1"/>
    <col min="2012" max="2012" width="17.6640625" style="6" bestFit="1" customWidth="1"/>
    <col min="2013" max="2013" width="2" style="6" customWidth="1"/>
    <col min="2014" max="2014" width="19.88671875" style="6" bestFit="1" customWidth="1"/>
    <col min="2015" max="2015" width="18.88671875" style="6" bestFit="1" customWidth="1"/>
    <col min="2016" max="2016" width="19.5546875" style="6" bestFit="1" customWidth="1"/>
    <col min="2017" max="2188" width="11.44140625" style="6"/>
    <col min="2189" max="2189" width="18.6640625" style="6" customWidth="1"/>
    <col min="2190" max="2190" width="38.5546875" style="6" customWidth="1"/>
    <col min="2191" max="2191" width="21.5546875" style="6" bestFit="1" customWidth="1"/>
    <col min="2192" max="2192" width="20.44140625" style="6" bestFit="1" customWidth="1"/>
    <col min="2193" max="2193" width="17.33203125" style="6" bestFit="1" customWidth="1"/>
    <col min="2194" max="2194" width="18.33203125" style="6" bestFit="1" customWidth="1"/>
    <col min="2195" max="2195" width="17.44140625" style="6" bestFit="1" customWidth="1"/>
    <col min="2196" max="2196" width="1.44140625" style="6" customWidth="1"/>
    <col min="2197" max="2197" width="17.33203125" style="6" customWidth="1"/>
    <col min="2198" max="2198" width="17.88671875" style="6" bestFit="1" customWidth="1"/>
    <col min="2199" max="2199" width="17.33203125" style="6" customWidth="1"/>
    <col min="2200" max="2200" width="17.88671875" style="6" bestFit="1" customWidth="1"/>
    <col min="2201" max="2201" width="17" style="6" bestFit="1" customWidth="1"/>
    <col min="2202" max="2202" width="1.6640625" style="6" customWidth="1"/>
    <col min="2203" max="2203" width="17.33203125" style="6" bestFit="1" customWidth="1"/>
    <col min="2204" max="2204" width="17.88671875" style="6" bestFit="1" customWidth="1"/>
    <col min="2205" max="2205" width="17.33203125" style="6" bestFit="1" customWidth="1"/>
    <col min="2206" max="2206" width="17.88671875" style="6" bestFit="1" customWidth="1"/>
    <col min="2207" max="2207" width="17" style="6" bestFit="1" customWidth="1"/>
    <col min="2208" max="2208" width="2" style="6" customWidth="1"/>
    <col min="2209" max="2210" width="17" style="6" bestFit="1" customWidth="1"/>
    <col min="2211" max="2211" width="17.33203125" style="6" bestFit="1" customWidth="1"/>
    <col min="2212" max="2212" width="16" style="6" customWidth="1"/>
    <col min="2213" max="2213" width="17" style="6" bestFit="1" customWidth="1"/>
    <col min="2214" max="2214" width="2" style="6" customWidth="1"/>
    <col min="2215" max="2216" width="17" style="6" bestFit="1" customWidth="1"/>
    <col min="2217" max="2217" width="17.33203125" style="6" bestFit="1" customWidth="1"/>
    <col min="2218" max="2218" width="16" style="6" customWidth="1"/>
    <col min="2219" max="2219" width="17" style="6" bestFit="1" customWidth="1"/>
    <col min="2220" max="2220" width="2" style="6" customWidth="1"/>
    <col min="2221" max="2221" width="17" style="6" bestFit="1" customWidth="1"/>
    <col min="2222" max="2222" width="25.5546875" style="6" customWidth="1"/>
    <col min="2223" max="2223" width="19.109375" style="6" customWidth="1"/>
    <col min="2224" max="2224" width="16" style="6" customWidth="1"/>
    <col min="2225" max="2225" width="17" style="6" bestFit="1" customWidth="1"/>
    <col min="2226" max="2226" width="2" style="6" customWidth="1"/>
    <col min="2227" max="2227" width="16" style="6" bestFit="1" customWidth="1"/>
    <col min="2228" max="2228" width="16.33203125" style="6" bestFit="1" customWidth="1"/>
    <col min="2229" max="2229" width="15.6640625" style="6" bestFit="1" customWidth="1"/>
    <col min="2230" max="2230" width="16.33203125" style="6" bestFit="1" customWidth="1"/>
    <col min="2231" max="2231" width="15" style="6" bestFit="1" customWidth="1"/>
    <col min="2232" max="2232" width="2" style="6" customWidth="1"/>
    <col min="2233" max="2233" width="17" style="6" bestFit="1" customWidth="1"/>
    <col min="2234" max="2234" width="16.6640625" style="6" bestFit="1" customWidth="1"/>
    <col min="2235" max="2235" width="17.33203125" style="6" bestFit="1" customWidth="1"/>
    <col min="2236" max="2236" width="16" style="6" bestFit="1" customWidth="1"/>
    <col min="2237" max="2237" width="17" style="6" customWidth="1"/>
    <col min="2238" max="2238" width="2" style="6" customWidth="1"/>
    <col min="2239" max="2239" width="16.33203125" style="6" bestFit="1" customWidth="1"/>
    <col min="2240" max="2240" width="18.88671875" style="6" bestFit="1" customWidth="1"/>
    <col min="2241" max="2241" width="16" style="6" bestFit="1" customWidth="1"/>
    <col min="2242" max="2242" width="16.33203125" style="6" bestFit="1" customWidth="1"/>
    <col min="2243" max="2243" width="15" style="6" bestFit="1" customWidth="1"/>
    <col min="2244" max="2244" width="2" style="6" customWidth="1"/>
    <col min="2245" max="2246" width="17" style="6" bestFit="1" customWidth="1"/>
    <col min="2247" max="2247" width="17.33203125" style="6" bestFit="1" customWidth="1"/>
    <col min="2248" max="2248" width="16" style="6" bestFit="1" customWidth="1"/>
    <col min="2249" max="2249" width="17" style="6" bestFit="1" customWidth="1"/>
    <col min="2250" max="2250" width="2.33203125" style="6" customWidth="1"/>
    <col min="2251" max="2251" width="17" style="6" customWidth="1"/>
    <col min="2252" max="2252" width="17" style="6" bestFit="1" customWidth="1"/>
    <col min="2253" max="2253" width="17.33203125" style="6" bestFit="1" customWidth="1"/>
    <col min="2254" max="2254" width="16" style="6" bestFit="1" customWidth="1"/>
    <col min="2255" max="2255" width="17" style="6" bestFit="1" customWidth="1"/>
    <col min="2256" max="2256" width="3" style="6" customWidth="1"/>
    <col min="2257" max="2257" width="16" style="6" bestFit="1" customWidth="1"/>
    <col min="2258" max="2258" width="17" style="6" bestFit="1" customWidth="1"/>
    <col min="2259" max="2259" width="17.33203125" style="6" bestFit="1" customWidth="1"/>
    <col min="2260" max="2260" width="16" style="6" bestFit="1" customWidth="1"/>
    <col min="2261" max="2261" width="17" style="6" bestFit="1" customWidth="1"/>
    <col min="2262" max="2262" width="3" style="6" customWidth="1"/>
    <col min="2263" max="2264" width="17.88671875" style="6" bestFit="1" customWidth="1"/>
    <col min="2265" max="2265" width="17.33203125" style="6" bestFit="1" customWidth="1"/>
    <col min="2266" max="2266" width="17.88671875" style="6" bestFit="1" customWidth="1"/>
    <col min="2267" max="2267" width="17" style="6" bestFit="1" customWidth="1"/>
    <col min="2268" max="2268" width="17.6640625" style="6" bestFit="1" customWidth="1"/>
    <col min="2269" max="2269" width="2" style="6" customWidth="1"/>
    <col min="2270" max="2270" width="19.88671875" style="6" bestFit="1" customWidth="1"/>
    <col min="2271" max="2271" width="18.88671875" style="6" bestFit="1" customWidth="1"/>
    <col min="2272" max="2272" width="19.5546875" style="6" bestFit="1" customWidth="1"/>
    <col min="2273" max="2444" width="11.44140625" style="6"/>
    <col min="2445" max="2445" width="18.6640625" style="6" customWidth="1"/>
    <col min="2446" max="2446" width="38.5546875" style="6" customWidth="1"/>
    <col min="2447" max="2447" width="21.5546875" style="6" bestFit="1" customWidth="1"/>
    <col min="2448" max="2448" width="20.44140625" style="6" bestFit="1" customWidth="1"/>
    <col min="2449" max="2449" width="17.33203125" style="6" bestFit="1" customWidth="1"/>
    <col min="2450" max="2450" width="18.33203125" style="6" bestFit="1" customWidth="1"/>
    <col min="2451" max="2451" width="17.44140625" style="6" bestFit="1" customWidth="1"/>
    <col min="2452" max="2452" width="1.44140625" style="6" customWidth="1"/>
    <col min="2453" max="2453" width="17.33203125" style="6" customWidth="1"/>
    <col min="2454" max="2454" width="17.88671875" style="6" bestFit="1" customWidth="1"/>
    <col min="2455" max="2455" width="17.33203125" style="6" customWidth="1"/>
    <col min="2456" max="2456" width="17.88671875" style="6" bestFit="1" customWidth="1"/>
    <col min="2457" max="2457" width="17" style="6" bestFit="1" customWidth="1"/>
    <col min="2458" max="2458" width="1.6640625" style="6" customWidth="1"/>
    <col min="2459" max="2459" width="17.33203125" style="6" bestFit="1" customWidth="1"/>
    <col min="2460" max="2460" width="17.88671875" style="6" bestFit="1" customWidth="1"/>
    <col min="2461" max="2461" width="17.33203125" style="6" bestFit="1" customWidth="1"/>
    <col min="2462" max="2462" width="17.88671875" style="6" bestFit="1" customWidth="1"/>
    <col min="2463" max="2463" width="17" style="6" bestFit="1" customWidth="1"/>
    <col min="2464" max="2464" width="2" style="6" customWidth="1"/>
    <col min="2465" max="2466" width="17" style="6" bestFit="1" customWidth="1"/>
    <col min="2467" max="2467" width="17.33203125" style="6" bestFit="1" customWidth="1"/>
    <col min="2468" max="2468" width="16" style="6" customWidth="1"/>
    <col min="2469" max="2469" width="17" style="6" bestFit="1" customWidth="1"/>
    <col min="2470" max="2470" width="2" style="6" customWidth="1"/>
    <col min="2471" max="2472" width="17" style="6" bestFit="1" customWidth="1"/>
    <col min="2473" max="2473" width="17.33203125" style="6" bestFit="1" customWidth="1"/>
    <col min="2474" max="2474" width="16" style="6" customWidth="1"/>
    <col min="2475" max="2475" width="17" style="6" bestFit="1" customWidth="1"/>
    <col min="2476" max="2476" width="2" style="6" customWidth="1"/>
    <col min="2477" max="2477" width="17" style="6" bestFit="1" customWidth="1"/>
    <col min="2478" max="2478" width="25.5546875" style="6" customWidth="1"/>
    <col min="2479" max="2479" width="19.109375" style="6" customWidth="1"/>
    <col min="2480" max="2480" width="16" style="6" customWidth="1"/>
    <col min="2481" max="2481" width="17" style="6" bestFit="1" customWidth="1"/>
    <col min="2482" max="2482" width="2" style="6" customWidth="1"/>
    <col min="2483" max="2483" width="16" style="6" bestFit="1" customWidth="1"/>
    <col min="2484" max="2484" width="16.33203125" style="6" bestFit="1" customWidth="1"/>
    <col min="2485" max="2485" width="15.6640625" style="6" bestFit="1" customWidth="1"/>
    <col min="2486" max="2486" width="16.33203125" style="6" bestFit="1" customWidth="1"/>
    <col min="2487" max="2487" width="15" style="6" bestFit="1" customWidth="1"/>
    <col min="2488" max="2488" width="2" style="6" customWidth="1"/>
    <col min="2489" max="2489" width="17" style="6" bestFit="1" customWidth="1"/>
    <col min="2490" max="2490" width="16.6640625" style="6" bestFit="1" customWidth="1"/>
    <col min="2491" max="2491" width="17.33203125" style="6" bestFit="1" customWidth="1"/>
    <col min="2492" max="2492" width="16" style="6" bestFit="1" customWidth="1"/>
    <col min="2493" max="2493" width="17" style="6" customWidth="1"/>
    <col min="2494" max="2494" width="2" style="6" customWidth="1"/>
    <col min="2495" max="2495" width="16.33203125" style="6" bestFit="1" customWidth="1"/>
    <col min="2496" max="2496" width="18.88671875" style="6" bestFit="1" customWidth="1"/>
    <col min="2497" max="2497" width="16" style="6" bestFit="1" customWidth="1"/>
    <col min="2498" max="2498" width="16.33203125" style="6" bestFit="1" customWidth="1"/>
    <col min="2499" max="2499" width="15" style="6" bestFit="1" customWidth="1"/>
    <col min="2500" max="2500" width="2" style="6" customWidth="1"/>
    <col min="2501" max="2502" width="17" style="6" bestFit="1" customWidth="1"/>
    <col min="2503" max="2503" width="17.33203125" style="6" bestFit="1" customWidth="1"/>
    <col min="2504" max="2504" width="16" style="6" bestFit="1" customWidth="1"/>
    <col min="2505" max="2505" width="17" style="6" bestFit="1" customWidth="1"/>
    <col min="2506" max="2506" width="2.33203125" style="6" customWidth="1"/>
    <col min="2507" max="2507" width="17" style="6" customWidth="1"/>
    <col min="2508" max="2508" width="17" style="6" bestFit="1" customWidth="1"/>
    <col min="2509" max="2509" width="17.33203125" style="6" bestFit="1" customWidth="1"/>
    <col min="2510" max="2510" width="16" style="6" bestFit="1" customWidth="1"/>
    <col min="2511" max="2511" width="17" style="6" bestFit="1" customWidth="1"/>
    <col min="2512" max="2512" width="3" style="6" customWidth="1"/>
    <col min="2513" max="2513" width="16" style="6" bestFit="1" customWidth="1"/>
    <col min="2514" max="2514" width="17" style="6" bestFit="1" customWidth="1"/>
    <col min="2515" max="2515" width="17.33203125" style="6" bestFit="1" customWidth="1"/>
    <col min="2516" max="2516" width="16" style="6" bestFit="1" customWidth="1"/>
    <col min="2517" max="2517" width="17" style="6" bestFit="1" customWidth="1"/>
    <col min="2518" max="2518" width="3" style="6" customWidth="1"/>
    <col min="2519" max="2520" width="17.88671875" style="6" bestFit="1" customWidth="1"/>
    <col min="2521" max="2521" width="17.33203125" style="6" bestFit="1" customWidth="1"/>
    <col min="2522" max="2522" width="17.88671875" style="6" bestFit="1" customWidth="1"/>
    <col min="2523" max="2523" width="17" style="6" bestFit="1" customWidth="1"/>
    <col min="2524" max="2524" width="17.6640625" style="6" bestFit="1" customWidth="1"/>
    <col min="2525" max="2525" width="2" style="6" customWidth="1"/>
    <col min="2526" max="2526" width="19.88671875" style="6" bestFit="1" customWidth="1"/>
    <col min="2527" max="2527" width="18.88671875" style="6" bestFit="1" customWidth="1"/>
    <col min="2528" max="2528" width="19.5546875" style="6" bestFit="1" customWidth="1"/>
    <col min="2529" max="2700" width="11.44140625" style="6"/>
    <col min="2701" max="2701" width="18.6640625" style="6" customWidth="1"/>
    <col min="2702" max="2702" width="38.5546875" style="6" customWidth="1"/>
    <col min="2703" max="2703" width="21.5546875" style="6" bestFit="1" customWidth="1"/>
    <col min="2704" max="2704" width="20.44140625" style="6" bestFit="1" customWidth="1"/>
    <col min="2705" max="2705" width="17.33203125" style="6" bestFit="1" customWidth="1"/>
    <col min="2706" max="2706" width="18.33203125" style="6" bestFit="1" customWidth="1"/>
    <col min="2707" max="2707" width="17.44140625" style="6" bestFit="1" customWidth="1"/>
    <col min="2708" max="2708" width="1.44140625" style="6" customWidth="1"/>
    <col min="2709" max="2709" width="17.33203125" style="6" customWidth="1"/>
    <col min="2710" max="2710" width="17.88671875" style="6" bestFit="1" customWidth="1"/>
    <col min="2711" max="2711" width="17.33203125" style="6" customWidth="1"/>
    <col min="2712" max="2712" width="17.88671875" style="6" bestFit="1" customWidth="1"/>
    <col min="2713" max="2713" width="17" style="6" bestFit="1" customWidth="1"/>
    <col min="2714" max="2714" width="1.6640625" style="6" customWidth="1"/>
    <col min="2715" max="2715" width="17.33203125" style="6" bestFit="1" customWidth="1"/>
    <col min="2716" max="2716" width="17.88671875" style="6" bestFit="1" customWidth="1"/>
    <col min="2717" max="2717" width="17.33203125" style="6" bestFit="1" customWidth="1"/>
    <col min="2718" max="2718" width="17.88671875" style="6" bestFit="1" customWidth="1"/>
    <col min="2719" max="2719" width="17" style="6" bestFit="1" customWidth="1"/>
    <col min="2720" max="2720" width="2" style="6" customWidth="1"/>
    <col min="2721" max="2722" width="17" style="6" bestFit="1" customWidth="1"/>
    <col min="2723" max="2723" width="17.33203125" style="6" bestFit="1" customWidth="1"/>
    <col min="2724" max="2724" width="16" style="6" customWidth="1"/>
    <col min="2725" max="2725" width="17" style="6" bestFit="1" customWidth="1"/>
    <col min="2726" max="2726" width="2" style="6" customWidth="1"/>
    <col min="2727" max="2728" width="17" style="6" bestFit="1" customWidth="1"/>
    <col min="2729" max="2729" width="17.33203125" style="6" bestFit="1" customWidth="1"/>
    <col min="2730" max="2730" width="16" style="6" customWidth="1"/>
    <col min="2731" max="2731" width="17" style="6" bestFit="1" customWidth="1"/>
    <col min="2732" max="2732" width="2" style="6" customWidth="1"/>
    <col min="2733" max="2733" width="17" style="6" bestFit="1" customWidth="1"/>
    <col min="2734" max="2734" width="25.5546875" style="6" customWidth="1"/>
    <col min="2735" max="2735" width="19.109375" style="6" customWidth="1"/>
    <col min="2736" max="2736" width="16" style="6" customWidth="1"/>
    <col min="2737" max="2737" width="17" style="6" bestFit="1" customWidth="1"/>
    <col min="2738" max="2738" width="2" style="6" customWidth="1"/>
    <col min="2739" max="2739" width="16" style="6" bestFit="1" customWidth="1"/>
    <col min="2740" max="2740" width="16.33203125" style="6" bestFit="1" customWidth="1"/>
    <col min="2741" max="2741" width="15.6640625" style="6" bestFit="1" customWidth="1"/>
    <col min="2742" max="2742" width="16.33203125" style="6" bestFit="1" customWidth="1"/>
    <col min="2743" max="2743" width="15" style="6" bestFit="1" customWidth="1"/>
    <col min="2744" max="2744" width="2" style="6" customWidth="1"/>
    <col min="2745" max="2745" width="17" style="6" bestFit="1" customWidth="1"/>
    <col min="2746" max="2746" width="16.6640625" style="6" bestFit="1" customWidth="1"/>
    <col min="2747" max="2747" width="17.33203125" style="6" bestFit="1" customWidth="1"/>
    <col min="2748" max="2748" width="16" style="6" bestFit="1" customWidth="1"/>
    <col min="2749" max="2749" width="17" style="6" customWidth="1"/>
    <col min="2750" max="2750" width="2" style="6" customWidth="1"/>
    <col min="2751" max="2751" width="16.33203125" style="6" bestFit="1" customWidth="1"/>
    <col min="2752" max="2752" width="18.88671875" style="6" bestFit="1" customWidth="1"/>
    <col min="2753" max="2753" width="16" style="6" bestFit="1" customWidth="1"/>
    <col min="2754" max="2754" width="16.33203125" style="6" bestFit="1" customWidth="1"/>
    <col min="2755" max="2755" width="15" style="6" bestFit="1" customWidth="1"/>
    <col min="2756" max="2756" width="2" style="6" customWidth="1"/>
    <col min="2757" max="2758" width="17" style="6" bestFit="1" customWidth="1"/>
    <col min="2759" max="2759" width="17.33203125" style="6" bestFit="1" customWidth="1"/>
    <col min="2760" max="2760" width="16" style="6" bestFit="1" customWidth="1"/>
    <col min="2761" max="2761" width="17" style="6" bestFit="1" customWidth="1"/>
    <col min="2762" max="2762" width="2.33203125" style="6" customWidth="1"/>
    <col min="2763" max="2763" width="17" style="6" customWidth="1"/>
    <col min="2764" max="2764" width="17" style="6" bestFit="1" customWidth="1"/>
    <col min="2765" max="2765" width="17.33203125" style="6" bestFit="1" customWidth="1"/>
    <col min="2766" max="2766" width="16" style="6" bestFit="1" customWidth="1"/>
    <col min="2767" max="2767" width="17" style="6" bestFit="1" customWidth="1"/>
    <col min="2768" max="2768" width="3" style="6" customWidth="1"/>
    <col min="2769" max="2769" width="16" style="6" bestFit="1" customWidth="1"/>
    <col min="2770" max="2770" width="17" style="6" bestFit="1" customWidth="1"/>
    <col min="2771" max="2771" width="17.33203125" style="6" bestFit="1" customWidth="1"/>
    <col min="2772" max="2772" width="16" style="6" bestFit="1" customWidth="1"/>
    <col min="2773" max="2773" width="17" style="6" bestFit="1" customWidth="1"/>
    <col min="2774" max="2774" width="3" style="6" customWidth="1"/>
    <col min="2775" max="2776" width="17.88671875" style="6" bestFit="1" customWidth="1"/>
    <col min="2777" max="2777" width="17.33203125" style="6" bestFit="1" customWidth="1"/>
    <col min="2778" max="2778" width="17.88671875" style="6" bestFit="1" customWidth="1"/>
    <col min="2779" max="2779" width="17" style="6" bestFit="1" customWidth="1"/>
    <col min="2780" max="2780" width="17.6640625" style="6" bestFit="1" customWidth="1"/>
    <col min="2781" max="2781" width="2" style="6" customWidth="1"/>
    <col min="2782" max="2782" width="19.88671875" style="6" bestFit="1" customWidth="1"/>
    <col min="2783" max="2783" width="18.88671875" style="6" bestFit="1" customWidth="1"/>
    <col min="2784" max="2784" width="19.5546875" style="6" bestFit="1" customWidth="1"/>
    <col min="2785" max="2956" width="11.44140625" style="6"/>
    <col min="2957" max="2957" width="18.6640625" style="6" customWidth="1"/>
    <col min="2958" max="2958" width="38.5546875" style="6" customWidth="1"/>
    <col min="2959" max="2959" width="21.5546875" style="6" bestFit="1" customWidth="1"/>
    <col min="2960" max="2960" width="20.44140625" style="6" bestFit="1" customWidth="1"/>
    <col min="2961" max="2961" width="17.33203125" style="6" bestFit="1" customWidth="1"/>
    <col min="2962" max="2962" width="18.33203125" style="6" bestFit="1" customWidth="1"/>
    <col min="2963" max="2963" width="17.44140625" style="6" bestFit="1" customWidth="1"/>
    <col min="2964" max="2964" width="1.44140625" style="6" customWidth="1"/>
    <col min="2965" max="2965" width="17.33203125" style="6" customWidth="1"/>
    <col min="2966" max="2966" width="17.88671875" style="6" bestFit="1" customWidth="1"/>
    <col min="2967" max="2967" width="17.33203125" style="6" customWidth="1"/>
    <col min="2968" max="2968" width="17.88671875" style="6" bestFit="1" customWidth="1"/>
    <col min="2969" max="2969" width="17" style="6" bestFit="1" customWidth="1"/>
    <col min="2970" max="2970" width="1.6640625" style="6" customWidth="1"/>
    <col min="2971" max="2971" width="17.33203125" style="6" bestFit="1" customWidth="1"/>
    <col min="2972" max="2972" width="17.88671875" style="6" bestFit="1" customWidth="1"/>
    <col min="2973" max="2973" width="17.33203125" style="6" bestFit="1" customWidth="1"/>
    <col min="2974" max="2974" width="17.88671875" style="6" bestFit="1" customWidth="1"/>
    <col min="2975" max="2975" width="17" style="6" bestFit="1" customWidth="1"/>
    <col min="2976" max="2976" width="2" style="6" customWidth="1"/>
    <col min="2977" max="2978" width="17" style="6" bestFit="1" customWidth="1"/>
    <col min="2979" max="2979" width="17.33203125" style="6" bestFit="1" customWidth="1"/>
    <col min="2980" max="2980" width="16" style="6" customWidth="1"/>
    <col min="2981" max="2981" width="17" style="6" bestFit="1" customWidth="1"/>
    <col min="2982" max="2982" width="2" style="6" customWidth="1"/>
    <col min="2983" max="2984" width="17" style="6" bestFit="1" customWidth="1"/>
    <col min="2985" max="2985" width="17.33203125" style="6" bestFit="1" customWidth="1"/>
    <col min="2986" max="2986" width="16" style="6" customWidth="1"/>
    <col min="2987" max="2987" width="17" style="6" bestFit="1" customWidth="1"/>
    <col min="2988" max="2988" width="2" style="6" customWidth="1"/>
    <col min="2989" max="2989" width="17" style="6" bestFit="1" customWidth="1"/>
    <col min="2990" max="2990" width="25.5546875" style="6" customWidth="1"/>
    <col min="2991" max="2991" width="19.109375" style="6" customWidth="1"/>
    <col min="2992" max="2992" width="16" style="6" customWidth="1"/>
    <col min="2993" max="2993" width="17" style="6" bestFit="1" customWidth="1"/>
    <col min="2994" max="2994" width="2" style="6" customWidth="1"/>
    <col min="2995" max="2995" width="16" style="6" bestFit="1" customWidth="1"/>
    <col min="2996" max="2996" width="16.33203125" style="6" bestFit="1" customWidth="1"/>
    <col min="2997" max="2997" width="15.6640625" style="6" bestFit="1" customWidth="1"/>
    <col min="2998" max="2998" width="16.33203125" style="6" bestFit="1" customWidth="1"/>
    <col min="2999" max="2999" width="15" style="6" bestFit="1" customWidth="1"/>
    <col min="3000" max="3000" width="2" style="6" customWidth="1"/>
    <col min="3001" max="3001" width="17" style="6" bestFit="1" customWidth="1"/>
    <col min="3002" max="3002" width="16.6640625" style="6" bestFit="1" customWidth="1"/>
    <col min="3003" max="3003" width="17.33203125" style="6" bestFit="1" customWidth="1"/>
    <col min="3004" max="3004" width="16" style="6" bestFit="1" customWidth="1"/>
    <col min="3005" max="3005" width="17" style="6" customWidth="1"/>
    <col min="3006" max="3006" width="2" style="6" customWidth="1"/>
    <col min="3007" max="3007" width="16.33203125" style="6" bestFit="1" customWidth="1"/>
    <col min="3008" max="3008" width="18.88671875" style="6" bestFit="1" customWidth="1"/>
    <col min="3009" max="3009" width="16" style="6" bestFit="1" customWidth="1"/>
    <col min="3010" max="3010" width="16.33203125" style="6" bestFit="1" customWidth="1"/>
    <col min="3011" max="3011" width="15" style="6" bestFit="1" customWidth="1"/>
    <col min="3012" max="3012" width="2" style="6" customWidth="1"/>
    <col min="3013" max="3014" width="17" style="6" bestFit="1" customWidth="1"/>
    <col min="3015" max="3015" width="17.33203125" style="6" bestFit="1" customWidth="1"/>
    <col min="3016" max="3016" width="16" style="6" bestFit="1" customWidth="1"/>
    <col min="3017" max="3017" width="17" style="6" bestFit="1" customWidth="1"/>
    <col min="3018" max="3018" width="2.33203125" style="6" customWidth="1"/>
    <col min="3019" max="3019" width="17" style="6" customWidth="1"/>
    <col min="3020" max="3020" width="17" style="6" bestFit="1" customWidth="1"/>
    <col min="3021" max="3021" width="17.33203125" style="6" bestFit="1" customWidth="1"/>
    <col min="3022" max="3022" width="16" style="6" bestFit="1" customWidth="1"/>
    <col min="3023" max="3023" width="17" style="6" bestFit="1" customWidth="1"/>
    <col min="3024" max="3024" width="3" style="6" customWidth="1"/>
    <col min="3025" max="3025" width="16" style="6" bestFit="1" customWidth="1"/>
    <col min="3026" max="3026" width="17" style="6" bestFit="1" customWidth="1"/>
    <col min="3027" max="3027" width="17.33203125" style="6" bestFit="1" customWidth="1"/>
    <col min="3028" max="3028" width="16" style="6" bestFit="1" customWidth="1"/>
    <col min="3029" max="3029" width="17" style="6" bestFit="1" customWidth="1"/>
    <col min="3030" max="3030" width="3" style="6" customWidth="1"/>
    <col min="3031" max="3032" width="17.88671875" style="6" bestFit="1" customWidth="1"/>
    <col min="3033" max="3033" width="17.33203125" style="6" bestFit="1" customWidth="1"/>
    <col min="3034" max="3034" width="17.88671875" style="6" bestFit="1" customWidth="1"/>
    <col min="3035" max="3035" width="17" style="6" bestFit="1" customWidth="1"/>
    <col min="3036" max="3036" width="17.6640625" style="6" bestFit="1" customWidth="1"/>
    <col min="3037" max="3037" width="2" style="6" customWidth="1"/>
    <col min="3038" max="3038" width="19.88671875" style="6" bestFit="1" customWidth="1"/>
    <col min="3039" max="3039" width="18.88671875" style="6" bestFit="1" customWidth="1"/>
    <col min="3040" max="3040" width="19.5546875" style="6" bestFit="1" customWidth="1"/>
    <col min="3041" max="3212" width="11.44140625" style="6"/>
    <col min="3213" max="3213" width="18.6640625" style="6" customWidth="1"/>
    <col min="3214" max="3214" width="38.5546875" style="6" customWidth="1"/>
    <col min="3215" max="3215" width="21.5546875" style="6" bestFit="1" customWidth="1"/>
    <col min="3216" max="3216" width="20.44140625" style="6" bestFit="1" customWidth="1"/>
    <col min="3217" max="3217" width="17.33203125" style="6" bestFit="1" customWidth="1"/>
    <col min="3218" max="3218" width="18.33203125" style="6" bestFit="1" customWidth="1"/>
    <col min="3219" max="3219" width="17.44140625" style="6" bestFit="1" customWidth="1"/>
    <col min="3220" max="3220" width="1.44140625" style="6" customWidth="1"/>
    <col min="3221" max="3221" width="17.33203125" style="6" customWidth="1"/>
    <col min="3222" max="3222" width="17.88671875" style="6" bestFit="1" customWidth="1"/>
    <col min="3223" max="3223" width="17.33203125" style="6" customWidth="1"/>
    <col min="3224" max="3224" width="17.88671875" style="6" bestFit="1" customWidth="1"/>
    <col min="3225" max="3225" width="17" style="6" bestFit="1" customWidth="1"/>
    <col min="3226" max="3226" width="1.6640625" style="6" customWidth="1"/>
    <col min="3227" max="3227" width="17.33203125" style="6" bestFit="1" customWidth="1"/>
    <col min="3228" max="3228" width="17.88671875" style="6" bestFit="1" customWidth="1"/>
    <col min="3229" max="3229" width="17.33203125" style="6" bestFit="1" customWidth="1"/>
    <col min="3230" max="3230" width="17.88671875" style="6" bestFit="1" customWidth="1"/>
    <col min="3231" max="3231" width="17" style="6" bestFit="1" customWidth="1"/>
    <col min="3232" max="3232" width="2" style="6" customWidth="1"/>
    <col min="3233" max="3234" width="17" style="6" bestFit="1" customWidth="1"/>
    <col min="3235" max="3235" width="17.33203125" style="6" bestFit="1" customWidth="1"/>
    <col min="3236" max="3236" width="16" style="6" customWidth="1"/>
    <col min="3237" max="3237" width="17" style="6" bestFit="1" customWidth="1"/>
    <col min="3238" max="3238" width="2" style="6" customWidth="1"/>
    <col min="3239" max="3240" width="17" style="6" bestFit="1" customWidth="1"/>
    <col min="3241" max="3241" width="17.33203125" style="6" bestFit="1" customWidth="1"/>
    <col min="3242" max="3242" width="16" style="6" customWidth="1"/>
    <col min="3243" max="3243" width="17" style="6" bestFit="1" customWidth="1"/>
    <col min="3244" max="3244" width="2" style="6" customWidth="1"/>
    <col min="3245" max="3245" width="17" style="6" bestFit="1" customWidth="1"/>
    <col min="3246" max="3246" width="25.5546875" style="6" customWidth="1"/>
    <col min="3247" max="3247" width="19.109375" style="6" customWidth="1"/>
    <col min="3248" max="3248" width="16" style="6" customWidth="1"/>
    <col min="3249" max="3249" width="17" style="6" bestFit="1" customWidth="1"/>
    <col min="3250" max="3250" width="2" style="6" customWidth="1"/>
    <col min="3251" max="3251" width="16" style="6" bestFit="1" customWidth="1"/>
    <col min="3252" max="3252" width="16.33203125" style="6" bestFit="1" customWidth="1"/>
    <col min="3253" max="3253" width="15.6640625" style="6" bestFit="1" customWidth="1"/>
    <col min="3254" max="3254" width="16.33203125" style="6" bestFit="1" customWidth="1"/>
    <col min="3255" max="3255" width="15" style="6" bestFit="1" customWidth="1"/>
    <col min="3256" max="3256" width="2" style="6" customWidth="1"/>
    <col min="3257" max="3257" width="17" style="6" bestFit="1" customWidth="1"/>
    <col min="3258" max="3258" width="16.6640625" style="6" bestFit="1" customWidth="1"/>
    <col min="3259" max="3259" width="17.33203125" style="6" bestFit="1" customWidth="1"/>
    <col min="3260" max="3260" width="16" style="6" bestFit="1" customWidth="1"/>
    <col min="3261" max="3261" width="17" style="6" customWidth="1"/>
    <col min="3262" max="3262" width="2" style="6" customWidth="1"/>
    <col min="3263" max="3263" width="16.33203125" style="6" bestFit="1" customWidth="1"/>
    <col min="3264" max="3264" width="18.88671875" style="6" bestFit="1" customWidth="1"/>
    <col min="3265" max="3265" width="16" style="6" bestFit="1" customWidth="1"/>
    <col min="3266" max="3266" width="16.33203125" style="6" bestFit="1" customWidth="1"/>
    <col min="3267" max="3267" width="15" style="6" bestFit="1" customWidth="1"/>
    <col min="3268" max="3268" width="2" style="6" customWidth="1"/>
    <col min="3269" max="3270" width="17" style="6" bestFit="1" customWidth="1"/>
    <col min="3271" max="3271" width="17.33203125" style="6" bestFit="1" customWidth="1"/>
    <col min="3272" max="3272" width="16" style="6" bestFit="1" customWidth="1"/>
    <col min="3273" max="3273" width="17" style="6" bestFit="1" customWidth="1"/>
    <col min="3274" max="3274" width="2.33203125" style="6" customWidth="1"/>
    <col min="3275" max="3275" width="17" style="6" customWidth="1"/>
    <col min="3276" max="3276" width="17" style="6" bestFit="1" customWidth="1"/>
    <col min="3277" max="3277" width="17.33203125" style="6" bestFit="1" customWidth="1"/>
    <col min="3278" max="3278" width="16" style="6" bestFit="1" customWidth="1"/>
    <col min="3279" max="3279" width="17" style="6" bestFit="1" customWidth="1"/>
    <col min="3280" max="3280" width="3" style="6" customWidth="1"/>
    <col min="3281" max="3281" width="16" style="6" bestFit="1" customWidth="1"/>
    <col min="3282" max="3282" width="17" style="6" bestFit="1" customWidth="1"/>
    <col min="3283" max="3283" width="17.33203125" style="6" bestFit="1" customWidth="1"/>
    <col min="3284" max="3284" width="16" style="6" bestFit="1" customWidth="1"/>
    <col min="3285" max="3285" width="17" style="6" bestFit="1" customWidth="1"/>
    <col min="3286" max="3286" width="3" style="6" customWidth="1"/>
    <col min="3287" max="3288" width="17.88671875" style="6" bestFit="1" customWidth="1"/>
    <col min="3289" max="3289" width="17.33203125" style="6" bestFit="1" customWidth="1"/>
    <col min="3290" max="3290" width="17.88671875" style="6" bestFit="1" customWidth="1"/>
    <col min="3291" max="3291" width="17" style="6" bestFit="1" customWidth="1"/>
    <col min="3292" max="3292" width="17.6640625" style="6" bestFit="1" customWidth="1"/>
    <col min="3293" max="3293" width="2" style="6" customWidth="1"/>
    <col min="3294" max="3294" width="19.88671875" style="6" bestFit="1" customWidth="1"/>
    <col min="3295" max="3295" width="18.88671875" style="6" bestFit="1" customWidth="1"/>
    <col min="3296" max="3296" width="19.5546875" style="6" bestFit="1" customWidth="1"/>
    <col min="3297" max="3468" width="11.44140625" style="6"/>
    <col min="3469" max="3469" width="18.6640625" style="6" customWidth="1"/>
    <col min="3470" max="3470" width="38.5546875" style="6" customWidth="1"/>
    <col min="3471" max="3471" width="21.5546875" style="6" bestFit="1" customWidth="1"/>
    <col min="3472" max="3472" width="20.44140625" style="6" bestFit="1" customWidth="1"/>
    <col min="3473" max="3473" width="17.33203125" style="6" bestFit="1" customWidth="1"/>
    <col min="3474" max="3474" width="18.33203125" style="6" bestFit="1" customWidth="1"/>
    <col min="3475" max="3475" width="17.44140625" style="6" bestFit="1" customWidth="1"/>
    <col min="3476" max="3476" width="1.44140625" style="6" customWidth="1"/>
    <col min="3477" max="3477" width="17.33203125" style="6" customWidth="1"/>
    <col min="3478" max="3478" width="17.88671875" style="6" bestFit="1" customWidth="1"/>
    <col min="3479" max="3479" width="17.33203125" style="6" customWidth="1"/>
    <col min="3480" max="3480" width="17.88671875" style="6" bestFit="1" customWidth="1"/>
    <col min="3481" max="3481" width="17" style="6" bestFit="1" customWidth="1"/>
    <col min="3482" max="3482" width="1.6640625" style="6" customWidth="1"/>
    <col min="3483" max="3483" width="17.33203125" style="6" bestFit="1" customWidth="1"/>
    <col min="3484" max="3484" width="17.88671875" style="6" bestFit="1" customWidth="1"/>
    <col min="3485" max="3485" width="17.33203125" style="6" bestFit="1" customWidth="1"/>
    <col min="3486" max="3486" width="17.88671875" style="6" bestFit="1" customWidth="1"/>
    <col min="3487" max="3487" width="17" style="6" bestFit="1" customWidth="1"/>
    <col min="3488" max="3488" width="2" style="6" customWidth="1"/>
    <col min="3489" max="3490" width="17" style="6" bestFit="1" customWidth="1"/>
    <col min="3491" max="3491" width="17.33203125" style="6" bestFit="1" customWidth="1"/>
    <col min="3492" max="3492" width="16" style="6" customWidth="1"/>
    <col min="3493" max="3493" width="17" style="6" bestFit="1" customWidth="1"/>
    <col min="3494" max="3494" width="2" style="6" customWidth="1"/>
    <col min="3495" max="3496" width="17" style="6" bestFit="1" customWidth="1"/>
    <col min="3497" max="3497" width="17.33203125" style="6" bestFit="1" customWidth="1"/>
    <col min="3498" max="3498" width="16" style="6" customWidth="1"/>
    <col min="3499" max="3499" width="17" style="6" bestFit="1" customWidth="1"/>
    <col min="3500" max="3500" width="2" style="6" customWidth="1"/>
    <col min="3501" max="3501" width="17" style="6" bestFit="1" customWidth="1"/>
    <col min="3502" max="3502" width="25.5546875" style="6" customWidth="1"/>
    <col min="3503" max="3503" width="19.109375" style="6" customWidth="1"/>
    <col min="3504" max="3504" width="16" style="6" customWidth="1"/>
    <col min="3505" max="3505" width="17" style="6" bestFit="1" customWidth="1"/>
    <col min="3506" max="3506" width="2" style="6" customWidth="1"/>
    <col min="3507" max="3507" width="16" style="6" bestFit="1" customWidth="1"/>
    <col min="3508" max="3508" width="16.33203125" style="6" bestFit="1" customWidth="1"/>
    <col min="3509" max="3509" width="15.6640625" style="6" bestFit="1" customWidth="1"/>
    <col min="3510" max="3510" width="16.33203125" style="6" bestFit="1" customWidth="1"/>
    <col min="3511" max="3511" width="15" style="6" bestFit="1" customWidth="1"/>
    <col min="3512" max="3512" width="2" style="6" customWidth="1"/>
    <col min="3513" max="3513" width="17" style="6" bestFit="1" customWidth="1"/>
    <col min="3514" max="3514" width="16.6640625" style="6" bestFit="1" customWidth="1"/>
    <col min="3515" max="3515" width="17.33203125" style="6" bestFit="1" customWidth="1"/>
    <col min="3516" max="3516" width="16" style="6" bestFit="1" customWidth="1"/>
    <col min="3517" max="3517" width="17" style="6" customWidth="1"/>
    <col min="3518" max="3518" width="2" style="6" customWidth="1"/>
    <col min="3519" max="3519" width="16.33203125" style="6" bestFit="1" customWidth="1"/>
    <col min="3520" max="3520" width="18.88671875" style="6" bestFit="1" customWidth="1"/>
    <col min="3521" max="3521" width="16" style="6" bestFit="1" customWidth="1"/>
    <col min="3522" max="3522" width="16.33203125" style="6" bestFit="1" customWidth="1"/>
    <col min="3523" max="3523" width="15" style="6" bestFit="1" customWidth="1"/>
    <col min="3524" max="3524" width="2" style="6" customWidth="1"/>
    <col min="3525" max="3526" width="17" style="6" bestFit="1" customWidth="1"/>
    <col min="3527" max="3527" width="17.33203125" style="6" bestFit="1" customWidth="1"/>
    <col min="3528" max="3528" width="16" style="6" bestFit="1" customWidth="1"/>
    <col min="3529" max="3529" width="17" style="6" bestFit="1" customWidth="1"/>
    <col min="3530" max="3530" width="2.33203125" style="6" customWidth="1"/>
    <col min="3531" max="3531" width="17" style="6" customWidth="1"/>
    <col min="3532" max="3532" width="17" style="6" bestFit="1" customWidth="1"/>
    <col min="3533" max="3533" width="17.33203125" style="6" bestFit="1" customWidth="1"/>
    <col min="3534" max="3534" width="16" style="6" bestFit="1" customWidth="1"/>
    <col min="3535" max="3535" width="17" style="6" bestFit="1" customWidth="1"/>
    <col min="3536" max="3536" width="3" style="6" customWidth="1"/>
    <col min="3537" max="3537" width="16" style="6" bestFit="1" customWidth="1"/>
    <col min="3538" max="3538" width="17" style="6" bestFit="1" customWidth="1"/>
    <col min="3539" max="3539" width="17.33203125" style="6" bestFit="1" customWidth="1"/>
    <col min="3540" max="3540" width="16" style="6" bestFit="1" customWidth="1"/>
    <col min="3541" max="3541" width="17" style="6" bestFit="1" customWidth="1"/>
    <col min="3542" max="3542" width="3" style="6" customWidth="1"/>
    <col min="3543" max="3544" width="17.88671875" style="6" bestFit="1" customWidth="1"/>
    <col min="3545" max="3545" width="17.33203125" style="6" bestFit="1" customWidth="1"/>
    <col min="3546" max="3546" width="17.88671875" style="6" bestFit="1" customWidth="1"/>
    <col min="3547" max="3547" width="17" style="6" bestFit="1" customWidth="1"/>
    <col min="3548" max="3548" width="17.6640625" style="6" bestFit="1" customWidth="1"/>
    <col min="3549" max="3549" width="2" style="6" customWidth="1"/>
    <col min="3550" max="3550" width="19.88671875" style="6" bestFit="1" customWidth="1"/>
    <col min="3551" max="3551" width="18.88671875" style="6" bestFit="1" customWidth="1"/>
    <col min="3552" max="3552" width="19.5546875" style="6" bestFit="1" customWidth="1"/>
    <col min="3553" max="3724" width="11.44140625" style="6"/>
    <col min="3725" max="3725" width="18.6640625" style="6" customWidth="1"/>
    <col min="3726" max="3726" width="38.5546875" style="6" customWidth="1"/>
    <col min="3727" max="3727" width="21.5546875" style="6" bestFit="1" customWidth="1"/>
    <col min="3728" max="3728" width="20.44140625" style="6" bestFit="1" customWidth="1"/>
    <col min="3729" max="3729" width="17.33203125" style="6" bestFit="1" customWidth="1"/>
    <col min="3730" max="3730" width="18.33203125" style="6" bestFit="1" customWidth="1"/>
    <col min="3731" max="3731" width="17.44140625" style="6" bestFit="1" customWidth="1"/>
    <col min="3732" max="3732" width="1.44140625" style="6" customWidth="1"/>
    <col min="3733" max="3733" width="17.33203125" style="6" customWidth="1"/>
    <col min="3734" max="3734" width="17.88671875" style="6" bestFit="1" customWidth="1"/>
    <col min="3735" max="3735" width="17.33203125" style="6" customWidth="1"/>
    <col min="3736" max="3736" width="17.88671875" style="6" bestFit="1" customWidth="1"/>
    <col min="3737" max="3737" width="17" style="6" bestFit="1" customWidth="1"/>
    <col min="3738" max="3738" width="1.6640625" style="6" customWidth="1"/>
    <col min="3739" max="3739" width="17.33203125" style="6" bestFit="1" customWidth="1"/>
    <col min="3740" max="3740" width="17.88671875" style="6" bestFit="1" customWidth="1"/>
    <col min="3741" max="3741" width="17.33203125" style="6" bestFit="1" customWidth="1"/>
    <col min="3742" max="3742" width="17.88671875" style="6" bestFit="1" customWidth="1"/>
    <col min="3743" max="3743" width="17" style="6" bestFit="1" customWidth="1"/>
    <col min="3744" max="3744" width="2" style="6" customWidth="1"/>
    <col min="3745" max="3746" width="17" style="6" bestFit="1" customWidth="1"/>
    <col min="3747" max="3747" width="17.33203125" style="6" bestFit="1" customWidth="1"/>
    <col min="3748" max="3748" width="16" style="6" customWidth="1"/>
    <col min="3749" max="3749" width="17" style="6" bestFit="1" customWidth="1"/>
    <col min="3750" max="3750" width="2" style="6" customWidth="1"/>
    <col min="3751" max="3752" width="17" style="6" bestFit="1" customWidth="1"/>
    <col min="3753" max="3753" width="17.33203125" style="6" bestFit="1" customWidth="1"/>
    <col min="3754" max="3754" width="16" style="6" customWidth="1"/>
    <col min="3755" max="3755" width="17" style="6" bestFit="1" customWidth="1"/>
    <col min="3756" max="3756" width="2" style="6" customWidth="1"/>
    <col min="3757" max="3757" width="17" style="6" bestFit="1" customWidth="1"/>
    <col min="3758" max="3758" width="25.5546875" style="6" customWidth="1"/>
    <col min="3759" max="3759" width="19.109375" style="6" customWidth="1"/>
    <col min="3760" max="3760" width="16" style="6" customWidth="1"/>
    <col min="3761" max="3761" width="17" style="6" bestFit="1" customWidth="1"/>
    <col min="3762" max="3762" width="2" style="6" customWidth="1"/>
    <col min="3763" max="3763" width="16" style="6" bestFit="1" customWidth="1"/>
    <col min="3764" max="3764" width="16.33203125" style="6" bestFit="1" customWidth="1"/>
    <col min="3765" max="3765" width="15.6640625" style="6" bestFit="1" customWidth="1"/>
    <col min="3766" max="3766" width="16.33203125" style="6" bestFit="1" customWidth="1"/>
    <col min="3767" max="3767" width="15" style="6" bestFit="1" customWidth="1"/>
    <col min="3768" max="3768" width="2" style="6" customWidth="1"/>
    <col min="3769" max="3769" width="17" style="6" bestFit="1" customWidth="1"/>
    <col min="3770" max="3770" width="16.6640625" style="6" bestFit="1" customWidth="1"/>
    <col min="3771" max="3771" width="17.33203125" style="6" bestFit="1" customWidth="1"/>
    <col min="3772" max="3772" width="16" style="6" bestFit="1" customWidth="1"/>
    <col min="3773" max="3773" width="17" style="6" customWidth="1"/>
    <col min="3774" max="3774" width="2" style="6" customWidth="1"/>
    <col min="3775" max="3775" width="16.33203125" style="6" bestFit="1" customWidth="1"/>
    <col min="3776" max="3776" width="18.88671875" style="6" bestFit="1" customWidth="1"/>
    <col min="3777" max="3777" width="16" style="6" bestFit="1" customWidth="1"/>
    <col min="3778" max="3778" width="16.33203125" style="6" bestFit="1" customWidth="1"/>
    <col min="3779" max="3779" width="15" style="6" bestFit="1" customWidth="1"/>
    <col min="3780" max="3780" width="2" style="6" customWidth="1"/>
    <col min="3781" max="3782" width="17" style="6" bestFit="1" customWidth="1"/>
    <col min="3783" max="3783" width="17.33203125" style="6" bestFit="1" customWidth="1"/>
    <col min="3784" max="3784" width="16" style="6" bestFit="1" customWidth="1"/>
    <col min="3785" max="3785" width="17" style="6" bestFit="1" customWidth="1"/>
    <col min="3786" max="3786" width="2.33203125" style="6" customWidth="1"/>
    <col min="3787" max="3787" width="17" style="6" customWidth="1"/>
    <col min="3788" max="3788" width="17" style="6" bestFit="1" customWidth="1"/>
    <col min="3789" max="3789" width="17.33203125" style="6" bestFit="1" customWidth="1"/>
    <col min="3790" max="3790" width="16" style="6" bestFit="1" customWidth="1"/>
    <col min="3791" max="3791" width="17" style="6" bestFit="1" customWidth="1"/>
    <col min="3792" max="3792" width="3" style="6" customWidth="1"/>
    <col min="3793" max="3793" width="16" style="6" bestFit="1" customWidth="1"/>
    <col min="3794" max="3794" width="17" style="6" bestFit="1" customWidth="1"/>
    <col min="3795" max="3795" width="17.33203125" style="6" bestFit="1" customWidth="1"/>
    <col min="3796" max="3796" width="16" style="6" bestFit="1" customWidth="1"/>
    <col min="3797" max="3797" width="17" style="6" bestFit="1" customWidth="1"/>
    <col min="3798" max="3798" width="3" style="6" customWidth="1"/>
    <col min="3799" max="3800" width="17.88671875" style="6" bestFit="1" customWidth="1"/>
    <col min="3801" max="3801" width="17.33203125" style="6" bestFit="1" customWidth="1"/>
    <col min="3802" max="3802" width="17.88671875" style="6" bestFit="1" customWidth="1"/>
    <col min="3803" max="3803" width="17" style="6" bestFit="1" customWidth="1"/>
    <col min="3804" max="3804" width="17.6640625" style="6" bestFit="1" customWidth="1"/>
    <col min="3805" max="3805" width="2" style="6" customWidth="1"/>
    <col min="3806" max="3806" width="19.88671875" style="6" bestFit="1" customWidth="1"/>
    <col min="3807" max="3807" width="18.88671875" style="6" bestFit="1" customWidth="1"/>
    <col min="3808" max="3808" width="19.5546875" style="6" bestFit="1" customWidth="1"/>
    <col min="3809" max="3980" width="11.44140625" style="6"/>
    <col min="3981" max="3981" width="18.6640625" style="6" customWidth="1"/>
    <col min="3982" max="3982" width="38.5546875" style="6" customWidth="1"/>
    <col min="3983" max="3983" width="21.5546875" style="6" bestFit="1" customWidth="1"/>
    <col min="3984" max="3984" width="20.44140625" style="6" bestFit="1" customWidth="1"/>
    <col min="3985" max="3985" width="17.33203125" style="6" bestFit="1" customWidth="1"/>
    <col min="3986" max="3986" width="18.33203125" style="6" bestFit="1" customWidth="1"/>
    <col min="3987" max="3987" width="17.44140625" style="6" bestFit="1" customWidth="1"/>
    <col min="3988" max="3988" width="1.44140625" style="6" customWidth="1"/>
    <col min="3989" max="3989" width="17.33203125" style="6" customWidth="1"/>
    <col min="3990" max="3990" width="17.88671875" style="6" bestFit="1" customWidth="1"/>
    <col min="3991" max="3991" width="17.33203125" style="6" customWidth="1"/>
    <col min="3992" max="3992" width="17.88671875" style="6" bestFit="1" customWidth="1"/>
    <col min="3993" max="3993" width="17" style="6" bestFit="1" customWidth="1"/>
    <col min="3994" max="3994" width="1.6640625" style="6" customWidth="1"/>
    <col min="3995" max="3995" width="17.33203125" style="6" bestFit="1" customWidth="1"/>
    <col min="3996" max="3996" width="17.88671875" style="6" bestFit="1" customWidth="1"/>
    <col min="3997" max="3997" width="17.33203125" style="6" bestFit="1" customWidth="1"/>
    <col min="3998" max="3998" width="17.88671875" style="6" bestFit="1" customWidth="1"/>
    <col min="3999" max="3999" width="17" style="6" bestFit="1" customWidth="1"/>
    <col min="4000" max="4000" width="2" style="6" customWidth="1"/>
    <col min="4001" max="4002" width="17" style="6" bestFit="1" customWidth="1"/>
    <col min="4003" max="4003" width="17.33203125" style="6" bestFit="1" customWidth="1"/>
    <col min="4004" max="4004" width="16" style="6" customWidth="1"/>
    <col min="4005" max="4005" width="17" style="6" bestFit="1" customWidth="1"/>
    <col min="4006" max="4006" width="2" style="6" customWidth="1"/>
    <col min="4007" max="4008" width="17" style="6" bestFit="1" customWidth="1"/>
    <col min="4009" max="4009" width="17.33203125" style="6" bestFit="1" customWidth="1"/>
    <col min="4010" max="4010" width="16" style="6" customWidth="1"/>
    <col min="4011" max="4011" width="17" style="6" bestFit="1" customWidth="1"/>
    <col min="4012" max="4012" width="2" style="6" customWidth="1"/>
    <col min="4013" max="4013" width="17" style="6" bestFit="1" customWidth="1"/>
    <col min="4014" max="4014" width="25.5546875" style="6" customWidth="1"/>
    <col min="4015" max="4015" width="19.109375" style="6" customWidth="1"/>
    <col min="4016" max="4016" width="16" style="6" customWidth="1"/>
    <col min="4017" max="4017" width="17" style="6" bestFit="1" customWidth="1"/>
    <col min="4018" max="4018" width="2" style="6" customWidth="1"/>
    <col min="4019" max="4019" width="16" style="6" bestFit="1" customWidth="1"/>
    <col min="4020" max="4020" width="16.33203125" style="6" bestFit="1" customWidth="1"/>
    <col min="4021" max="4021" width="15.6640625" style="6" bestFit="1" customWidth="1"/>
    <col min="4022" max="4022" width="16.33203125" style="6" bestFit="1" customWidth="1"/>
    <col min="4023" max="4023" width="15" style="6" bestFit="1" customWidth="1"/>
    <col min="4024" max="4024" width="2" style="6" customWidth="1"/>
    <col min="4025" max="4025" width="17" style="6" bestFit="1" customWidth="1"/>
    <col min="4026" max="4026" width="16.6640625" style="6" bestFit="1" customWidth="1"/>
    <col min="4027" max="4027" width="17.33203125" style="6" bestFit="1" customWidth="1"/>
    <col min="4028" max="4028" width="16" style="6" bestFit="1" customWidth="1"/>
    <col min="4029" max="4029" width="17" style="6" customWidth="1"/>
    <col min="4030" max="4030" width="2" style="6" customWidth="1"/>
    <col min="4031" max="4031" width="16.33203125" style="6" bestFit="1" customWidth="1"/>
    <col min="4032" max="4032" width="18.88671875" style="6" bestFit="1" customWidth="1"/>
    <col min="4033" max="4033" width="16" style="6" bestFit="1" customWidth="1"/>
    <col min="4034" max="4034" width="16.33203125" style="6" bestFit="1" customWidth="1"/>
    <col min="4035" max="4035" width="15" style="6" bestFit="1" customWidth="1"/>
    <col min="4036" max="4036" width="2" style="6" customWidth="1"/>
    <col min="4037" max="4038" width="17" style="6" bestFit="1" customWidth="1"/>
    <col min="4039" max="4039" width="17.33203125" style="6" bestFit="1" customWidth="1"/>
    <col min="4040" max="4040" width="16" style="6" bestFit="1" customWidth="1"/>
    <col min="4041" max="4041" width="17" style="6" bestFit="1" customWidth="1"/>
    <col min="4042" max="4042" width="2.33203125" style="6" customWidth="1"/>
    <col min="4043" max="4043" width="17" style="6" customWidth="1"/>
    <col min="4044" max="4044" width="17" style="6" bestFit="1" customWidth="1"/>
    <col min="4045" max="4045" width="17.33203125" style="6" bestFit="1" customWidth="1"/>
    <col min="4046" max="4046" width="16" style="6" bestFit="1" customWidth="1"/>
    <col min="4047" max="4047" width="17" style="6" bestFit="1" customWidth="1"/>
    <col min="4048" max="4048" width="3" style="6" customWidth="1"/>
    <col min="4049" max="4049" width="16" style="6" bestFit="1" customWidth="1"/>
    <col min="4050" max="4050" width="17" style="6" bestFit="1" customWidth="1"/>
    <col min="4051" max="4051" width="17.33203125" style="6" bestFit="1" customWidth="1"/>
    <col min="4052" max="4052" width="16" style="6" bestFit="1" customWidth="1"/>
    <col min="4053" max="4053" width="17" style="6" bestFit="1" customWidth="1"/>
    <col min="4054" max="4054" width="3" style="6" customWidth="1"/>
    <col min="4055" max="4056" width="17.88671875" style="6" bestFit="1" customWidth="1"/>
    <col min="4057" max="4057" width="17.33203125" style="6" bestFit="1" customWidth="1"/>
    <col min="4058" max="4058" width="17.88671875" style="6" bestFit="1" customWidth="1"/>
    <col min="4059" max="4059" width="17" style="6" bestFit="1" customWidth="1"/>
    <col min="4060" max="4060" width="17.6640625" style="6" bestFit="1" customWidth="1"/>
    <col min="4061" max="4061" width="2" style="6" customWidth="1"/>
    <col min="4062" max="4062" width="19.88671875" style="6" bestFit="1" customWidth="1"/>
    <col min="4063" max="4063" width="18.88671875" style="6" bestFit="1" customWidth="1"/>
    <col min="4064" max="4064" width="19.5546875" style="6" bestFit="1" customWidth="1"/>
    <col min="4065" max="4236" width="11.44140625" style="6"/>
    <col min="4237" max="4237" width="18.6640625" style="6" customWidth="1"/>
    <col min="4238" max="4238" width="38.5546875" style="6" customWidth="1"/>
    <col min="4239" max="4239" width="21.5546875" style="6" bestFit="1" customWidth="1"/>
    <col min="4240" max="4240" width="20.44140625" style="6" bestFit="1" customWidth="1"/>
    <col min="4241" max="4241" width="17.33203125" style="6" bestFit="1" customWidth="1"/>
    <col min="4242" max="4242" width="18.33203125" style="6" bestFit="1" customWidth="1"/>
    <col min="4243" max="4243" width="17.44140625" style="6" bestFit="1" customWidth="1"/>
    <col min="4244" max="4244" width="1.44140625" style="6" customWidth="1"/>
    <col min="4245" max="4245" width="17.33203125" style="6" customWidth="1"/>
    <col min="4246" max="4246" width="17.88671875" style="6" bestFit="1" customWidth="1"/>
    <col min="4247" max="4247" width="17.33203125" style="6" customWidth="1"/>
    <col min="4248" max="4248" width="17.88671875" style="6" bestFit="1" customWidth="1"/>
    <col min="4249" max="4249" width="17" style="6" bestFit="1" customWidth="1"/>
    <col min="4250" max="4250" width="1.6640625" style="6" customWidth="1"/>
    <col min="4251" max="4251" width="17.33203125" style="6" bestFit="1" customWidth="1"/>
    <col min="4252" max="4252" width="17.88671875" style="6" bestFit="1" customWidth="1"/>
    <col min="4253" max="4253" width="17.33203125" style="6" bestFit="1" customWidth="1"/>
    <col min="4254" max="4254" width="17.88671875" style="6" bestFit="1" customWidth="1"/>
    <col min="4255" max="4255" width="17" style="6" bestFit="1" customWidth="1"/>
    <col min="4256" max="4256" width="2" style="6" customWidth="1"/>
    <col min="4257" max="4258" width="17" style="6" bestFit="1" customWidth="1"/>
    <col min="4259" max="4259" width="17.33203125" style="6" bestFit="1" customWidth="1"/>
    <col min="4260" max="4260" width="16" style="6" customWidth="1"/>
    <col min="4261" max="4261" width="17" style="6" bestFit="1" customWidth="1"/>
    <col min="4262" max="4262" width="2" style="6" customWidth="1"/>
    <col min="4263" max="4264" width="17" style="6" bestFit="1" customWidth="1"/>
    <col min="4265" max="4265" width="17.33203125" style="6" bestFit="1" customWidth="1"/>
    <col min="4266" max="4266" width="16" style="6" customWidth="1"/>
    <col min="4267" max="4267" width="17" style="6" bestFit="1" customWidth="1"/>
    <col min="4268" max="4268" width="2" style="6" customWidth="1"/>
    <col min="4269" max="4269" width="17" style="6" bestFit="1" customWidth="1"/>
    <col min="4270" max="4270" width="25.5546875" style="6" customWidth="1"/>
    <col min="4271" max="4271" width="19.109375" style="6" customWidth="1"/>
    <col min="4272" max="4272" width="16" style="6" customWidth="1"/>
    <col min="4273" max="4273" width="17" style="6" bestFit="1" customWidth="1"/>
    <col min="4274" max="4274" width="2" style="6" customWidth="1"/>
    <col min="4275" max="4275" width="16" style="6" bestFit="1" customWidth="1"/>
    <col min="4276" max="4276" width="16.33203125" style="6" bestFit="1" customWidth="1"/>
    <col min="4277" max="4277" width="15.6640625" style="6" bestFit="1" customWidth="1"/>
    <col min="4278" max="4278" width="16.33203125" style="6" bestFit="1" customWidth="1"/>
    <col min="4279" max="4279" width="15" style="6" bestFit="1" customWidth="1"/>
    <col min="4280" max="4280" width="2" style="6" customWidth="1"/>
    <col min="4281" max="4281" width="17" style="6" bestFit="1" customWidth="1"/>
    <col min="4282" max="4282" width="16.6640625" style="6" bestFit="1" customWidth="1"/>
    <col min="4283" max="4283" width="17.33203125" style="6" bestFit="1" customWidth="1"/>
    <col min="4284" max="4284" width="16" style="6" bestFit="1" customWidth="1"/>
    <col min="4285" max="4285" width="17" style="6" customWidth="1"/>
    <col min="4286" max="4286" width="2" style="6" customWidth="1"/>
    <col min="4287" max="4287" width="16.33203125" style="6" bestFit="1" customWidth="1"/>
    <col min="4288" max="4288" width="18.88671875" style="6" bestFit="1" customWidth="1"/>
    <col min="4289" max="4289" width="16" style="6" bestFit="1" customWidth="1"/>
    <col min="4290" max="4290" width="16.33203125" style="6" bestFit="1" customWidth="1"/>
    <col min="4291" max="4291" width="15" style="6" bestFit="1" customWidth="1"/>
    <col min="4292" max="4292" width="2" style="6" customWidth="1"/>
    <col min="4293" max="4294" width="17" style="6" bestFit="1" customWidth="1"/>
    <col min="4295" max="4295" width="17.33203125" style="6" bestFit="1" customWidth="1"/>
    <col min="4296" max="4296" width="16" style="6" bestFit="1" customWidth="1"/>
    <col min="4297" max="4297" width="17" style="6" bestFit="1" customWidth="1"/>
    <col min="4298" max="4298" width="2.33203125" style="6" customWidth="1"/>
    <col min="4299" max="4299" width="17" style="6" customWidth="1"/>
    <col min="4300" max="4300" width="17" style="6" bestFit="1" customWidth="1"/>
    <col min="4301" max="4301" width="17.33203125" style="6" bestFit="1" customWidth="1"/>
    <col min="4302" max="4302" width="16" style="6" bestFit="1" customWidth="1"/>
    <col min="4303" max="4303" width="17" style="6" bestFit="1" customWidth="1"/>
    <col min="4304" max="4304" width="3" style="6" customWidth="1"/>
    <col min="4305" max="4305" width="16" style="6" bestFit="1" customWidth="1"/>
    <col min="4306" max="4306" width="17" style="6" bestFit="1" customWidth="1"/>
    <col min="4307" max="4307" width="17.33203125" style="6" bestFit="1" customWidth="1"/>
    <col min="4308" max="4308" width="16" style="6" bestFit="1" customWidth="1"/>
    <col min="4309" max="4309" width="17" style="6" bestFit="1" customWidth="1"/>
    <col min="4310" max="4310" width="3" style="6" customWidth="1"/>
    <col min="4311" max="4312" width="17.88671875" style="6" bestFit="1" customWidth="1"/>
    <col min="4313" max="4313" width="17.33203125" style="6" bestFit="1" customWidth="1"/>
    <col min="4314" max="4314" width="17.88671875" style="6" bestFit="1" customWidth="1"/>
    <col min="4315" max="4315" width="17" style="6" bestFit="1" customWidth="1"/>
    <col min="4316" max="4316" width="17.6640625" style="6" bestFit="1" customWidth="1"/>
    <col min="4317" max="4317" width="2" style="6" customWidth="1"/>
    <col min="4318" max="4318" width="19.88671875" style="6" bestFit="1" customWidth="1"/>
    <col min="4319" max="4319" width="18.88671875" style="6" bestFit="1" customWidth="1"/>
    <col min="4320" max="4320" width="19.5546875" style="6" bestFit="1" customWidth="1"/>
    <col min="4321" max="4492" width="11.44140625" style="6"/>
    <col min="4493" max="4493" width="18.6640625" style="6" customWidth="1"/>
    <col min="4494" max="4494" width="38.5546875" style="6" customWidth="1"/>
    <col min="4495" max="4495" width="21.5546875" style="6" bestFit="1" customWidth="1"/>
    <col min="4496" max="4496" width="20.44140625" style="6" bestFit="1" customWidth="1"/>
    <col min="4497" max="4497" width="17.33203125" style="6" bestFit="1" customWidth="1"/>
    <col min="4498" max="4498" width="18.33203125" style="6" bestFit="1" customWidth="1"/>
    <col min="4499" max="4499" width="17.44140625" style="6" bestFit="1" customWidth="1"/>
    <col min="4500" max="4500" width="1.44140625" style="6" customWidth="1"/>
    <col min="4501" max="4501" width="17.33203125" style="6" customWidth="1"/>
    <col min="4502" max="4502" width="17.88671875" style="6" bestFit="1" customWidth="1"/>
    <col min="4503" max="4503" width="17.33203125" style="6" customWidth="1"/>
    <col min="4504" max="4504" width="17.88671875" style="6" bestFit="1" customWidth="1"/>
    <col min="4505" max="4505" width="17" style="6" bestFit="1" customWidth="1"/>
    <col min="4506" max="4506" width="1.6640625" style="6" customWidth="1"/>
    <col min="4507" max="4507" width="17.33203125" style="6" bestFit="1" customWidth="1"/>
    <col min="4508" max="4508" width="17.88671875" style="6" bestFit="1" customWidth="1"/>
    <col min="4509" max="4509" width="17.33203125" style="6" bestFit="1" customWidth="1"/>
    <col min="4510" max="4510" width="17.88671875" style="6" bestFit="1" customWidth="1"/>
    <col min="4511" max="4511" width="17" style="6" bestFit="1" customWidth="1"/>
    <col min="4512" max="4512" width="2" style="6" customWidth="1"/>
    <col min="4513" max="4514" width="17" style="6" bestFit="1" customWidth="1"/>
    <col min="4515" max="4515" width="17.33203125" style="6" bestFit="1" customWidth="1"/>
    <col min="4516" max="4516" width="16" style="6" customWidth="1"/>
    <col min="4517" max="4517" width="17" style="6" bestFit="1" customWidth="1"/>
    <col min="4518" max="4518" width="2" style="6" customWidth="1"/>
    <col min="4519" max="4520" width="17" style="6" bestFit="1" customWidth="1"/>
    <col min="4521" max="4521" width="17.33203125" style="6" bestFit="1" customWidth="1"/>
    <col min="4522" max="4522" width="16" style="6" customWidth="1"/>
    <col min="4523" max="4523" width="17" style="6" bestFit="1" customWidth="1"/>
    <col min="4524" max="4524" width="2" style="6" customWidth="1"/>
    <col min="4525" max="4525" width="17" style="6" bestFit="1" customWidth="1"/>
    <col min="4526" max="4526" width="25.5546875" style="6" customWidth="1"/>
    <col min="4527" max="4527" width="19.109375" style="6" customWidth="1"/>
    <col min="4528" max="4528" width="16" style="6" customWidth="1"/>
    <col min="4529" max="4529" width="17" style="6" bestFit="1" customWidth="1"/>
    <col min="4530" max="4530" width="2" style="6" customWidth="1"/>
    <col min="4531" max="4531" width="16" style="6" bestFit="1" customWidth="1"/>
    <col min="4532" max="4532" width="16.33203125" style="6" bestFit="1" customWidth="1"/>
    <col min="4533" max="4533" width="15.6640625" style="6" bestFit="1" customWidth="1"/>
    <col min="4534" max="4534" width="16.33203125" style="6" bestFit="1" customWidth="1"/>
    <col min="4535" max="4535" width="15" style="6" bestFit="1" customWidth="1"/>
    <col min="4536" max="4536" width="2" style="6" customWidth="1"/>
    <col min="4537" max="4537" width="17" style="6" bestFit="1" customWidth="1"/>
    <col min="4538" max="4538" width="16.6640625" style="6" bestFit="1" customWidth="1"/>
    <col min="4539" max="4539" width="17.33203125" style="6" bestFit="1" customWidth="1"/>
    <col min="4540" max="4540" width="16" style="6" bestFit="1" customWidth="1"/>
    <col min="4541" max="4541" width="17" style="6" customWidth="1"/>
    <col min="4542" max="4542" width="2" style="6" customWidth="1"/>
    <col min="4543" max="4543" width="16.33203125" style="6" bestFit="1" customWidth="1"/>
    <col min="4544" max="4544" width="18.88671875" style="6" bestFit="1" customWidth="1"/>
    <col min="4545" max="4545" width="16" style="6" bestFit="1" customWidth="1"/>
    <col min="4546" max="4546" width="16.33203125" style="6" bestFit="1" customWidth="1"/>
    <col min="4547" max="4547" width="15" style="6" bestFit="1" customWidth="1"/>
    <col min="4548" max="4548" width="2" style="6" customWidth="1"/>
    <col min="4549" max="4550" width="17" style="6" bestFit="1" customWidth="1"/>
    <col min="4551" max="4551" width="17.33203125" style="6" bestFit="1" customWidth="1"/>
    <col min="4552" max="4552" width="16" style="6" bestFit="1" customWidth="1"/>
    <col min="4553" max="4553" width="17" style="6" bestFit="1" customWidth="1"/>
    <col min="4554" max="4554" width="2.33203125" style="6" customWidth="1"/>
    <col min="4555" max="4555" width="17" style="6" customWidth="1"/>
    <col min="4556" max="4556" width="17" style="6" bestFit="1" customWidth="1"/>
    <col min="4557" max="4557" width="17.33203125" style="6" bestFit="1" customWidth="1"/>
    <col min="4558" max="4558" width="16" style="6" bestFit="1" customWidth="1"/>
    <col min="4559" max="4559" width="17" style="6" bestFit="1" customWidth="1"/>
    <col min="4560" max="4560" width="3" style="6" customWidth="1"/>
    <col min="4561" max="4561" width="16" style="6" bestFit="1" customWidth="1"/>
    <col min="4562" max="4562" width="17" style="6" bestFit="1" customWidth="1"/>
    <col min="4563" max="4563" width="17.33203125" style="6" bestFit="1" customWidth="1"/>
    <col min="4564" max="4564" width="16" style="6" bestFit="1" customWidth="1"/>
    <col min="4565" max="4565" width="17" style="6" bestFit="1" customWidth="1"/>
    <col min="4566" max="4566" width="3" style="6" customWidth="1"/>
    <col min="4567" max="4568" width="17.88671875" style="6" bestFit="1" customWidth="1"/>
    <col min="4569" max="4569" width="17.33203125" style="6" bestFit="1" customWidth="1"/>
    <col min="4570" max="4570" width="17.88671875" style="6" bestFit="1" customWidth="1"/>
    <col min="4571" max="4571" width="17" style="6" bestFit="1" customWidth="1"/>
    <col min="4572" max="4572" width="17.6640625" style="6" bestFit="1" customWidth="1"/>
    <col min="4573" max="4573" width="2" style="6" customWidth="1"/>
    <col min="4574" max="4574" width="19.88671875" style="6" bestFit="1" customWidth="1"/>
    <col min="4575" max="4575" width="18.88671875" style="6" bestFit="1" customWidth="1"/>
    <col min="4576" max="4576" width="19.5546875" style="6" bestFit="1" customWidth="1"/>
    <col min="4577" max="4748" width="11.44140625" style="6"/>
    <col min="4749" max="4749" width="18.6640625" style="6" customWidth="1"/>
    <col min="4750" max="4750" width="38.5546875" style="6" customWidth="1"/>
    <col min="4751" max="4751" width="21.5546875" style="6" bestFit="1" customWidth="1"/>
    <col min="4752" max="4752" width="20.44140625" style="6" bestFit="1" customWidth="1"/>
    <col min="4753" max="4753" width="17.33203125" style="6" bestFit="1" customWidth="1"/>
    <col min="4754" max="4754" width="18.33203125" style="6" bestFit="1" customWidth="1"/>
    <col min="4755" max="4755" width="17.44140625" style="6" bestFit="1" customWidth="1"/>
    <col min="4756" max="4756" width="1.44140625" style="6" customWidth="1"/>
    <col min="4757" max="4757" width="17.33203125" style="6" customWidth="1"/>
    <col min="4758" max="4758" width="17.88671875" style="6" bestFit="1" customWidth="1"/>
    <col min="4759" max="4759" width="17.33203125" style="6" customWidth="1"/>
    <col min="4760" max="4760" width="17.88671875" style="6" bestFit="1" customWidth="1"/>
    <col min="4761" max="4761" width="17" style="6" bestFit="1" customWidth="1"/>
    <col min="4762" max="4762" width="1.6640625" style="6" customWidth="1"/>
    <col min="4763" max="4763" width="17.33203125" style="6" bestFit="1" customWidth="1"/>
    <col min="4764" max="4764" width="17.88671875" style="6" bestFit="1" customWidth="1"/>
    <col min="4765" max="4765" width="17.33203125" style="6" bestFit="1" customWidth="1"/>
    <col min="4766" max="4766" width="17.88671875" style="6" bestFit="1" customWidth="1"/>
    <col min="4767" max="4767" width="17" style="6" bestFit="1" customWidth="1"/>
    <col min="4768" max="4768" width="2" style="6" customWidth="1"/>
    <col min="4769" max="4770" width="17" style="6" bestFit="1" customWidth="1"/>
    <col min="4771" max="4771" width="17.33203125" style="6" bestFit="1" customWidth="1"/>
    <col min="4772" max="4772" width="16" style="6" customWidth="1"/>
    <col min="4773" max="4773" width="17" style="6" bestFit="1" customWidth="1"/>
    <col min="4774" max="4774" width="2" style="6" customWidth="1"/>
    <col min="4775" max="4776" width="17" style="6" bestFit="1" customWidth="1"/>
    <col min="4777" max="4777" width="17.33203125" style="6" bestFit="1" customWidth="1"/>
    <col min="4778" max="4778" width="16" style="6" customWidth="1"/>
    <col min="4779" max="4779" width="17" style="6" bestFit="1" customWidth="1"/>
    <col min="4780" max="4780" width="2" style="6" customWidth="1"/>
    <col min="4781" max="4781" width="17" style="6" bestFit="1" customWidth="1"/>
    <col min="4782" max="4782" width="25.5546875" style="6" customWidth="1"/>
    <col min="4783" max="4783" width="19.109375" style="6" customWidth="1"/>
    <col min="4784" max="4784" width="16" style="6" customWidth="1"/>
    <col min="4785" max="4785" width="17" style="6" bestFit="1" customWidth="1"/>
    <col min="4786" max="4786" width="2" style="6" customWidth="1"/>
    <col min="4787" max="4787" width="16" style="6" bestFit="1" customWidth="1"/>
    <col min="4788" max="4788" width="16.33203125" style="6" bestFit="1" customWidth="1"/>
    <col min="4789" max="4789" width="15.6640625" style="6" bestFit="1" customWidth="1"/>
    <col min="4790" max="4790" width="16.33203125" style="6" bestFit="1" customWidth="1"/>
    <col min="4791" max="4791" width="15" style="6" bestFit="1" customWidth="1"/>
    <col min="4792" max="4792" width="2" style="6" customWidth="1"/>
    <col min="4793" max="4793" width="17" style="6" bestFit="1" customWidth="1"/>
    <col min="4794" max="4794" width="16.6640625" style="6" bestFit="1" customWidth="1"/>
    <col min="4795" max="4795" width="17.33203125" style="6" bestFit="1" customWidth="1"/>
    <col min="4796" max="4796" width="16" style="6" bestFit="1" customWidth="1"/>
    <col min="4797" max="4797" width="17" style="6" customWidth="1"/>
    <col min="4798" max="4798" width="2" style="6" customWidth="1"/>
    <col min="4799" max="4799" width="16.33203125" style="6" bestFit="1" customWidth="1"/>
    <col min="4800" max="4800" width="18.88671875" style="6" bestFit="1" customWidth="1"/>
    <col min="4801" max="4801" width="16" style="6" bestFit="1" customWidth="1"/>
    <col min="4802" max="4802" width="16.33203125" style="6" bestFit="1" customWidth="1"/>
    <col min="4803" max="4803" width="15" style="6" bestFit="1" customWidth="1"/>
    <col min="4804" max="4804" width="2" style="6" customWidth="1"/>
    <col min="4805" max="4806" width="17" style="6" bestFit="1" customWidth="1"/>
    <col min="4807" max="4807" width="17.33203125" style="6" bestFit="1" customWidth="1"/>
    <col min="4808" max="4808" width="16" style="6" bestFit="1" customWidth="1"/>
    <col min="4809" max="4809" width="17" style="6" bestFit="1" customWidth="1"/>
    <col min="4810" max="4810" width="2.33203125" style="6" customWidth="1"/>
    <col min="4811" max="4811" width="17" style="6" customWidth="1"/>
    <col min="4812" max="4812" width="17" style="6" bestFit="1" customWidth="1"/>
    <col min="4813" max="4813" width="17.33203125" style="6" bestFit="1" customWidth="1"/>
    <col min="4814" max="4814" width="16" style="6" bestFit="1" customWidth="1"/>
    <col min="4815" max="4815" width="17" style="6" bestFit="1" customWidth="1"/>
    <col min="4816" max="4816" width="3" style="6" customWidth="1"/>
    <col min="4817" max="4817" width="16" style="6" bestFit="1" customWidth="1"/>
    <col min="4818" max="4818" width="17" style="6" bestFit="1" customWidth="1"/>
    <col min="4819" max="4819" width="17.33203125" style="6" bestFit="1" customWidth="1"/>
    <col min="4820" max="4820" width="16" style="6" bestFit="1" customWidth="1"/>
    <col min="4821" max="4821" width="17" style="6" bestFit="1" customWidth="1"/>
    <col min="4822" max="4822" width="3" style="6" customWidth="1"/>
    <col min="4823" max="4824" width="17.88671875" style="6" bestFit="1" customWidth="1"/>
    <col min="4825" max="4825" width="17.33203125" style="6" bestFit="1" customWidth="1"/>
    <col min="4826" max="4826" width="17.88671875" style="6" bestFit="1" customWidth="1"/>
    <col min="4827" max="4827" width="17" style="6" bestFit="1" customWidth="1"/>
    <col min="4828" max="4828" width="17.6640625" style="6" bestFit="1" customWidth="1"/>
    <col min="4829" max="4829" width="2" style="6" customWidth="1"/>
    <col min="4830" max="4830" width="19.88671875" style="6" bestFit="1" customWidth="1"/>
    <col min="4831" max="4831" width="18.88671875" style="6" bestFit="1" customWidth="1"/>
    <col min="4832" max="4832" width="19.5546875" style="6" bestFit="1" customWidth="1"/>
    <col min="4833" max="5004" width="11.44140625" style="6"/>
    <col min="5005" max="5005" width="18.6640625" style="6" customWidth="1"/>
    <col min="5006" max="5006" width="38.5546875" style="6" customWidth="1"/>
    <col min="5007" max="5007" width="21.5546875" style="6" bestFit="1" customWidth="1"/>
    <col min="5008" max="5008" width="20.44140625" style="6" bestFit="1" customWidth="1"/>
    <col min="5009" max="5009" width="17.33203125" style="6" bestFit="1" customWidth="1"/>
    <col min="5010" max="5010" width="18.33203125" style="6" bestFit="1" customWidth="1"/>
    <col min="5011" max="5011" width="17.44140625" style="6" bestFit="1" customWidth="1"/>
    <col min="5012" max="5012" width="1.44140625" style="6" customWidth="1"/>
    <col min="5013" max="5013" width="17.33203125" style="6" customWidth="1"/>
    <col min="5014" max="5014" width="17.88671875" style="6" bestFit="1" customWidth="1"/>
    <col min="5015" max="5015" width="17.33203125" style="6" customWidth="1"/>
    <col min="5016" max="5016" width="17.88671875" style="6" bestFit="1" customWidth="1"/>
    <col min="5017" max="5017" width="17" style="6" bestFit="1" customWidth="1"/>
    <col min="5018" max="5018" width="1.6640625" style="6" customWidth="1"/>
    <col min="5019" max="5019" width="17.33203125" style="6" bestFit="1" customWidth="1"/>
    <col min="5020" max="5020" width="17.88671875" style="6" bestFit="1" customWidth="1"/>
    <col min="5021" max="5021" width="17.33203125" style="6" bestFit="1" customWidth="1"/>
    <col min="5022" max="5022" width="17.88671875" style="6" bestFit="1" customWidth="1"/>
    <col min="5023" max="5023" width="17" style="6" bestFit="1" customWidth="1"/>
    <col min="5024" max="5024" width="2" style="6" customWidth="1"/>
    <col min="5025" max="5026" width="17" style="6" bestFit="1" customWidth="1"/>
    <col min="5027" max="5027" width="17.33203125" style="6" bestFit="1" customWidth="1"/>
    <col min="5028" max="5028" width="16" style="6" customWidth="1"/>
    <col min="5029" max="5029" width="17" style="6" bestFit="1" customWidth="1"/>
    <col min="5030" max="5030" width="2" style="6" customWidth="1"/>
    <col min="5031" max="5032" width="17" style="6" bestFit="1" customWidth="1"/>
    <col min="5033" max="5033" width="17.33203125" style="6" bestFit="1" customWidth="1"/>
    <col min="5034" max="5034" width="16" style="6" customWidth="1"/>
    <col min="5035" max="5035" width="17" style="6" bestFit="1" customWidth="1"/>
    <col min="5036" max="5036" width="2" style="6" customWidth="1"/>
    <col min="5037" max="5037" width="17" style="6" bestFit="1" customWidth="1"/>
    <col min="5038" max="5038" width="25.5546875" style="6" customWidth="1"/>
    <col min="5039" max="5039" width="19.109375" style="6" customWidth="1"/>
    <col min="5040" max="5040" width="16" style="6" customWidth="1"/>
    <col min="5041" max="5041" width="17" style="6" bestFit="1" customWidth="1"/>
    <col min="5042" max="5042" width="2" style="6" customWidth="1"/>
    <col min="5043" max="5043" width="16" style="6" bestFit="1" customWidth="1"/>
    <col min="5044" max="5044" width="16.33203125" style="6" bestFit="1" customWidth="1"/>
    <col min="5045" max="5045" width="15.6640625" style="6" bestFit="1" customWidth="1"/>
    <col min="5046" max="5046" width="16.33203125" style="6" bestFit="1" customWidth="1"/>
    <col min="5047" max="5047" width="15" style="6" bestFit="1" customWidth="1"/>
    <col min="5048" max="5048" width="2" style="6" customWidth="1"/>
    <col min="5049" max="5049" width="17" style="6" bestFit="1" customWidth="1"/>
    <col min="5050" max="5050" width="16.6640625" style="6" bestFit="1" customWidth="1"/>
    <col min="5051" max="5051" width="17.33203125" style="6" bestFit="1" customWidth="1"/>
    <col min="5052" max="5052" width="16" style="6" bestFit="1" customWidth="1"/>
    <col min="5053" max="5053" width="17" style="6" customWidth="1"/>
    <col min="5054" max="5054" width="2" style="6" customWidth="1"/>
    <col min="5055" max="5055" width="16.33203125" style="6" bestFit="1" customWidth="1"/>
    <col min="5056" max="5056" width="18.88671875" style="6" bestFit="1" customWidth="1"/>
    <col min="5057" max="5057" width="16" style="6" bestFit="1" customWidth="1"/>
    <col min="5058" max="5058" width="16.33203125" style="6" bestFit="1" customWidth="1"/>
    <col min="5059" max="5059" width="15" style="6" bestFit="1" customWidth="1"/>
    <col min="5060" max="5060" width="2" style="6" customWidth="1"/>
    <col min="5061" max="5062" width="17" style="6" bestFit="1" customWidth="1"/>
    <col min="5063" max="5063" width="17.33203125" style="6" bestFit="1" customWidth="1"/>
    <col min="5064" max="5064" width="16" style="6" bestFit="1" customWidth="1"/>
    <col min="5065" max="5065" width="17" style="6" bestFit="1" customWidth="1"/>
    <col min="5066" max="5066" width="2.33203125" style="6" customWidth="1"/>
    <col min="5067" max="5067" width="17" style="6" customWidth="1"/>
    <col min="5068" max="5068" width="17" style="6" bestFit="1" customWidth="1"/>
    <col min="5069" max="5069" width="17.33203125" style="6" bestFit="1" customWidth="1"/>
    <col min="5070" max="5070" width="16" style="6" bestFit="1" customWidth="1"/>
    <col min="5071" max="5071" width="17" style="6" bestFit="1" customWidth="1"/>
    <col min="5072" max="5072" width="3" style="6" customWidth="1"/>
    <col min="5073" max="5073" width="16" style="6" bestFit="1" customWidth="1"/>
    <col min="5074" max="5074" width="17" style="6" bestFit="1" customWidth="1"/>
    <col min="5075" max="5075" width="17.33203125" style="6" bestFit="1" customWidth="1"/>
    <col min="5076" max="5076" width="16" style="6" bestFit="1" customWidth="1"/>
    <col min="5077" max="5077" width="17" style="6" bestFit="1" customWidth="1"/>
    <col min="5078" max="5078" width="3" style="6" customWidth="1"/>
    <col min="5079" max="5080" width="17.88671875" style="6" bestFit="1" customWidth="1"/>
    <col min="5081" max="5081" width="17.33203125" style="6" bestFit="1" customWidth="1"/>
    <col min="5082" max="5082" width="17.88671875" style="6" bestFit="1" customWidth="1"/>
    <col min="5083" max="5083" width="17" style="6" bestFit="1" customWidth="1"/>
    <col min="5084" max="5084" width="17.6640625" style="6" bestFit="1" customWidth="1"/>
    <col min="5085" max="5085" width="2" style="6" customWidth="1"/>
    <col min="5086" max="5086" width="19.88671875" style="6" bestFit="1" customWidth="1"/>
    <col min="5087" max="5087" width="18.88671875" style="6" bestFit="1" customWidth="1"/>
    <col min="5088" max="5088" width="19.5546875" style="6" bestFit="1" customWidth="1"/>
    <col min="5089" max="5260" width="11.44140625" style="6"/>
    <col min="5261" max="5261" width="18.6640625" style="6" customWidth="1"/>
    <col min="5262" max="5262" width="38.5546875" style="6" customWidth="1"/>
    <col min="5263" max="5263" width="21.5546875" style="6" bestFit="1" customWidth="1"/>
    <col min="5264" max="5264" width="20.44140625" style="6" bestFit="1" customWidth="1"/>
    <col min="5265" max="5265" width="17.33203125" style="6" bestFit="1" customWidth="1"/>
    <col min="5266" max="5266" width="18.33203125" style="6" bestFit="1" customWidth="1"/>
    <col min="5267" max="5267" width="17.44140625" style="6" bestFit="1" customWidth="1"/>
    <col min="5268" max="5268" width="1.44140625" style="6" customWidth="1"/>
    <col min="5269" max="5269" width="17.33203125" style="6" customWidth="1"/>
    <col min="5270" max="5270" width="17.88671875" style="6" bestFit="1" customWidth="1"/>
    <col min="5271" max="5271" width="17.33203125" style="6" customWidth="1"/>
    <col min="5272" max="5272" width="17.88671875" style="6" bestFit="1" customWidth="1"/>
    <col min="5273" max="5273" width="17" style="6" bestFit="1" customWidth="1"/>
    <col min="5274" max="5274" width="1.6640625" style="6" customWidth="1"/>
    <col min="5275" max="5275" width="17.33203125" style="6" bestFit="1" customWidth="1"/>
    <col min="5276" max="5276" width="17.88671875" style="6" bestFit="1" customWidth="1"/>
    <col min="5277" max="5277" width="17.33203125" style="6" bestFit="1" customWidth="1"/>
    <col min="5278" max="5278" width="17.88671875" style="6" bestFit="1" customWidth="1"/>
    <col min="5279" max="5279" width="17" style="6" bestFit="1" customWidth="1"/>
    <col min="5280" max="5280" width="2" style="6" customWidth="1"/>
    <col min="5281" max="5282" width="17" style="6" bestFit="1" customWidth="1"/>
    <col min="5283" max="5283" width="17.33203125" style="6" bestFit="1" customWidth="1"/>
    <col min="5284" max="5284" width="16" style="6" customWidth="1"/>
    <col min="5285" max="5285" width="17" style="6" bestFit="1" customWidth="1"/>
    <col min="5286" max="5286" width="2" style="6" customWidth="1"/>
    <col min="5287" max="5288" width="17" style="6" bestFit="1" customWidth="1"/>
    <col min="5289" max="5289" width="17.33203125" style="6" bestFit="1" customWidth="1"/>
    <col min="5290" max="5290" width="16" style="6" customWidth="1"/>
    <col min="5291" max="5291" width="17" style="6" bestFit="1" customWidth="1"/>
    <col min="5292" max="5292" width="2" style="6" customWidth="1"/>
    <col min="5293" max="5293" width="17" style="6" bestFit="1" customWidth="1"/>
    <col min="5294" max="5294" width="25.5546875" style="6" customWidth="1"/>
    <col min="5295" max="5295" width="19.109375" style="6" customWidth="1"/>
    <col min="5296" max="5296" width="16" style="6" customWidth="1"/>
    <col min="5297" max="5297" width="17" style="6" bestFit="1" customWidth="1"/>
    <col min="5298" max="5298" width="2" style="6" customWidth="1"/>
    <col min="5299" max="5299" width="16" style="6" bestFit="1" customWidth="1"/>
    <col min="5300" max="5300" width="16.33203125" style="6" bestFit="1" customWidth="1"/>
    <col min="5301" max="5301" width="15.6640625" style="6" bestFit="1" customWidth="1"/>
    <col min="5302" max="5302" width="16.33203125" style="6" bestFit="1" customWidth="1"/>
    <col min="5303" max="5303" width="15" style="6" bestFit="1" customWidth="1"/>
    <col min="5304" max="5304" width="2" style="6" customWidth="1"/>
    <col min="5305" max="5305" width="17" style="6" bestFit="1" customWidth="1"/>
    <col min="5306" max="5306" width="16.6640625" style="6" bestFit="1" customWidth="1"/>
    <col min="5307" max="5307" width="17.33203125" style="6" bestFit="1" customWidth="1"/>
    <col min="5308" max="5308" width="16" style="6" bestFit="1" customWidth="1"/>
    <col min="5309" max="5309" width="17" style="6" customWidth="1"/>
    <col min="5310" max="5310" width="2" style="6" customWidth="1"/>
    <col min="5311" max="5311" width="16.33203125" style="6" bestFit="1" customWidth="1"/>
    <col min="5312" max="5312" width="18.88671875" style="6" bestFit="1" customWidth="1"/>
    <col min="5313" max="5313" width="16" style="6" bestFit="1" customWidth="1"/>
    <col min="5314" max="5314" width="16.33203125" style="6" bestFit="1" customWidth="1"/>
    <col min="5315" max="5315" width="15" style="6" bestFit="1" customWidth="1"/>
    <col min="5316" max="5316" width="2" style="6" customWidth="1"/>
    <col min="5317" max="5318" width="17" style="6" bestFit="1" customWidth="1"/>
    <col min="5319" max="5319" width="17.33203125" style="6" bestFit="1" customWidth="1"/>
    <col min="5320" max="5320" width="16" style="6" bestFit="1" customWidth="1"/>
    <col min="5321" max="5321" width="17" style="6" bestFit="1" customWidth="1"/>
    <col min="5322" max="5322" width="2.33203125" style="6" customWidth="1"/>
    <col min="5323" max="5323" width="17" style="6" customWidth="1"/>
    <col min="5324" max="5324" width="17" style="6" bestFit="1" customWidth="1"/>
    <col min="5325" max="5325" width="17.33203125" style="6" bestFit="1" customWidth="1"/>
    <col min="5326" max="5326" width="16" style="6" bestFit="1" customWidth="1"/>
    <col min="5327" max="5327" width="17" style="6" bestFit="1" customWidth="1"/>
    <col min="5328" max="5328" width="3" style="6" customWidth="1"/>
    <col min="5329" max="5329" width="16" style="6" bestFit="1" customWidth="1"/>
    <col min="5330" max="5330" width="17" style="6" bestFit="1" customWidth="1"/>
    <col min="5331" max="5331" width="17.33203125" style="6" bestFit="1" customWidth="1"/>
    <col min="5332" max="5332" width="16" style="6" bestFit="1" customWidth="1"/>
    <col min="5333" max="5333" width="17" style="6" bestFit="1" customWidth="1"/>
    <col min="5334" max="5334" width="3" style="6" customWidth="1"/>
    <col min="5335" max="5336" width="17.88671875" style="6" bestFit="1" customWidth="1"/>
    <col min="5337" max="5337" width="17.33203125" style="6" bestFit="1" customWidth="1"/>
    <col min="5338" max="5338" width="17.88671875" style="6" bestFit="1" customWidth="1"/>
    <col min="5339" max="5339" width="17" style="6" bestFit="1" customWidth="1"/>
    <col min="5340" max="5340" width="17.6640625" style="6" bestFit="1" customWidth="1"/>
    <col min="5341" max="5341" width="2" style="6" customWidth="1"/>
    <col min="5342" max="5342" width="19.88671875" style="6" bestFit="1" customWidth="1"/>
    <col min="5343" max="5343" width="18.88671875" style="6" bestFit="1" customWidth="1"/>
    <col min="5344" max="5344" width="19.5546875" style="6" bestFit="1" customWidth="1"/>
    <col min="5345" max="5516" width="11.44140625" style="6"/>
    <col min="5517" max="5517" width="18.6640625" style="6" customWidth="1"/>
    <col min="5518" max="5518" width="38.5546875" style="6" customWidth="1"/>
    <col min="5519" max="5519" width="21.5546875" style="6" bestFit="1" customWidth="1"/>
    <col min="5520" max="5520" width="20.44140625" style="6" bestFit="1" customWidth="1"/>
    <col min="5521" max="5521" width="17.33203125" style="6" bestFit="1" customWidth="1"/>
    <col min="5522" max="5522" width="18.33203125" style="6" bestFit="1" customWidth="1"/>
    <col min="5523" max="5523" width="17.44140625" style="6" bestFit="1" customWidth="1"/>
    <col min="5524" max="5524" width="1.44140625" style="6" customWidth="1"/>
    <col min="5525" max="5525" width="17.33203125" style="6" customWidth="1"/>
    <col min="5526" max="5526" width="17.88671875" style="6" bestFit="1" customWidth="1"/>
    <col min="5527" max="5527" width="17.33203125" style="6" customWidth="1"/>
    <col min="5528" max="5528" width="17.88671875" style="6" bestFit="1" customWidth="1"/>
    <col min="5529" max="5529" width="17" style="6" bestFit="1" customWidth="1"/>
    <col min="5530" max="5530" width="1.6640625" style="6" customWidth="1"/>
    <col min="5531" max="5531" width="17.33203125" style="6" bestFit="1" customWidth="1"/>
    <col min="5532" max="5532" width="17.88671875" style="6" bestFit="1" customWidth="1"/>
    <col min="5533" max="5533" width="17.33203125" style="6" bestFit="1" customWidth="1"/>
    <col min="5534" max="5534" width="17.88671875" style="6" bestFit="1" customWidth="1"/>
    <col min="5535" max="5535" width="17" style="6" bestFit="1" customWidth="1"/>
    <col min="5536" max="5536" width="2" style="6" customWidth="1"/>
    <col min="5537" max="5538" width="17" style="6" bestFit="1" customWidth="1"/>
    <col min="5539" max="5539" width="17.33203125" style="6" bestFit="1" customWidth="1"/>
    <col min="5540" max="5540" width="16" style="6" customWidth="1"/>
    <col min="5541" max="5541" width="17" style="6" bestFit="1" customWidth="1"/>
    <col min="5542" max="5542" width="2" style="6" customWidth="1"/>
    <col min="5543" max="5544" width="17" style="6" bestFit="1" customWidth="1"/>
    <col min="5545" max="5545" width="17.33203125" style="6" bestFit="1" customWidth="1"/>
    <col min="5546" max="5546" width="16" style="6" customWidth="1"/>
    <col min="5547" max="5547" width="17" style="6" bestFit="1" customWidth="1"/>
    <col min="5548" max="5548" width="2" style="6" customWidth="1"/>
    <col min="5549" max="5549" width="17" style="6" bestFit="1" customWidth="1"/>
    <col min="5550" max="5550" width="25.5546875" style="6" customWidth="1"/>
    <col min="5551" max="5551" width="19.109375" style="6" customWidth="1"/>
    <col min="5552" max="5552" width="16" style="6" customWidth="1"/>
    <col min="5553" max="5553" width="17" style="6" bestFit="1" customWidth="1"/>
    <col min="5554" max="5554" width="2" style="6" customWidth="1"/>
    <col min="5555" max="5555" width="16" style="6" bestFit="1" customWidth="1"/>
    <col min="5556" max="5556" width="16.33203125" style="6" bestFit="1" customWidth="1"/>
    <col min="5557" max="5557" width="15.6640625" style="6" bestFit="1" customWidth="1"/>
    <col min="5558" max="5558" width="16.33203125" style="6" bestFit="1" customWidth="1"/>
    <col min="5559" max="5559" width="15" style="6" bestFit="1" customWidth="1"/>
    <col min="5560" max="5560" width="2" style="6" customWidth="1"/>
    <col min="5561" max="5561" width="17" style="6" bestFit="1" customWidth="1"/>
    <col min="5562" max="5562" width="16.6640625" style="6" bestFit="1" customWidth="1"/>
    <col min="5563" max="5563" width="17.33203125" style="6" bestFit="1" customWidth="1"/>
    <col min="5564" max="5564" width="16" style="6" bestFit="1" customWidth="1"/>
    <col min="5565" max="5565" width="17" style="6" customWidth="1"/>
    <col min="5566" max="5566" width="2" style="6" customWidth="1"/>
    <col min="5567" max="5567" width="16.33203125" style="6" bestFit="1" customWidth="1"/>
    <col min="5568" max="5568" width="18.88671875" style="6" bestFit="1" customWidth="1"/>
    <col min="5569" max="5569" width="16" style="6" bestFit="1" customWidth="1"/>
    <col min="5570" max="5570" width="16.33203125" style="6" bestFit="1" customWidth="1"/>
    <col min="5571" max="5571" width="15" style="6" bestFit="1" customWidth="1"/>
    <col min="5572" max="5572" width="2" style="6" customWidth="1"/>
    <col min="5573" max="5574" width="17" style="6" bestFit="1" customWidth="1"/>
    <col min="5575" max="5575" width="17.33203125" style="6" bestFit="1" customWidth="1"/>
    <col min="5576" max="5576" width="16" style="6" bestFit="1" customWidth="1"/>
    <col min="5577" max="5577" width="17" style="6" bestFit="1" customWidth="1"/>
    <col min="5578" max="5578" width="2.33203125" style="6" customWidth="1"/>
    <col min="5579" max="5579" width="17" style="6" customWidth="1"/>
    <col min="5580" max="5580" width="17" style="6" bestFit="1" customWidth="1"/>
    <col min="5581" max="5581" width="17.33203125" style="6" bestFit="1" customWidth="1"/>
    <col min="5582" max="5582" width="16" style="6" bestFit="1" customWidth="1"/>
    <col min="5583" max="5583" width="17" style="6" bestFit="1" customWidth="1"/>
    <col min="5584" max="5584" width="3" style="6" customWidth="1"/>
    <col min="5585" max="5585" width="16" style="6" bestFit="1" customWidth="1"/>
    <col min="5586" max="5586" width="17" style="6" bestFit="1" customWidth="1"/>
    <col min="5587" max="5587" width="17.33203125" style="6" bestFit="1" customWidth="1"/>
    <col min="5588" max="5588" width="16" style="6" bestFit="1" customWidth="1"/>
    <col min="5589" max="5589" width="17" style="6" bestFit="1" customWidth="1"/>
    <col min="5590" max="5590" width="3" style="6" customWidth="1"/>
    <col min="5591" max="5592" width="17.88671875" style="6" bestFit="1" customWidth="1"/>
    <col min="5593" max="5593" width="17.33203125" style="6" bestFit="1" customWidth="1"/>
    <col min="5594" max="5594" width="17.88671875" style="6" bestFit="1" customWidth="1"/>
    <col min="5595" max="5595" width="17" style="6" bestFit="1" customWidth="1"/>
    <col min="5596" max="5596" width="17.6640625" style="6" bestFit="1" customWidth="1"/>
    <col min="5597" max="5597" width="2" style="6" customWidth="1"/>
    <col min="5598" max="5598" width="19.88671875" style="6" bestFit="1" customWidth="1"/>
    <col min="5599" max="5599" width="18.88671875" style="6" bestFit="1" customWidth="1"/>
    <col min="5600" max="5600" width="19.5546875" style="6" bestFit="1" customWidth="1"/>
    <col min="5601" max="5772" width="11.44140625" style="6"/>
    <col min="5773" max="5773" width="18.6640625" style="6" customWidth="1"/>
    <col min="5774" max="5774" width="38.5546875" style="6" customWidth="1"/>
    <col min="5775" max="5775" width="21.5546875" style="6" bestFit="1" customWidth="1"/>
    <col min="5776" max="5776" width="20.44140625" style="6" bestFit="1" customWidth="1"/>
    <col min="5777" max="5777" width="17.33203125" style="6" bestFit="1" customWidth="1"/>
    <col min="5778" max="5778" width="18.33203125" style="6" bestFit="1" customWidth="1"/>
    <col min="5779" max="5779" width="17.44140625" style="6" bestFit="1" customWidth="1"/>
    <col min="5780" max="5780" width="1.44140625" style="6" customWidth="1"/>
    <col min="5781" max="5781" width="17.33203125" style="6" customWidth="1"/>
    <col min="5782" max="5782" width="17.88671875" style="6" bestFit="1" customWidth="1"/>
    <col min="5783" max="5783" width="17.33203125" style="6" customWidth="1"/>
    <col min="5784" max="5784" width="17.88671875" style="6" bestFit="1" customWidth="1"/>
    <col min="5785" max="5785" width="17" style="6" bestFit="1" customWidth="1"/>
    <col min="5786" max="5786" width="1.6640625" style="6" customWidth="1"/>
    <col min="5787" max="5787" width="17.33203125" style="6" bestFit="1" customWidth="1"/>
    <col min="5788" max="5788" width="17.88671875" style="6" bestFit="1" customWidth="1"/>
    <col min="5789" max="5789" width="17.33203125" style="6" bestFit="1" customWidth="1"/>
    <col min="5790" max="5790" width="17.88671875" style="6" bestFit="1" customWidth="1"/>
    <col min="5791" max="5791" width="17" style="6" bestFit="1" customWidth="1"/>
    <col min="5792" max="5792" width="2" style="6" customWidth="1"/>
    <col min="5793" max="5794" width="17" style="6" bestFit="1" customWidth="1"/>
    <col min="5795" max="5795" width="17.33203125" style="6" bestFit="1" customWidth="1"/>
    <col min="5796" max="5796" width="16" style="6" customWidth="1"/>
    <col min="5797" max="5797" width="17" style="6" bestFit="1" customWidth="1"/>
    <col min="5798" max="5798" width="2" style="6" customWidth="1"/>
    <col min="5799" max="5800" width="17" style="6" bestFit="1" customWidth="1"/>
    <col min="5801" max="5801" width="17.33203125" style="6" bestFit="1" customWidth="1"/>
    <col min="5802" max="5802" width="16" style="6" customWidth="1"/>
    <col min="5803" max="5803" width="17" style="6" bestFit="1" customWidth="1"/>
    <col min="5804" max="5804" width="2" style="6" customWidth="1"/>
    <col min="5805" max="5805" width="17" style="6" bestFit="1" customWidth="1"/>
    <col min="5806" max="5806" width="25.5546875" style="6" customWidth="1"/>
    <col min="5807" max="5807" width="19.109375" style="6" customWidth="1"/>
    <col min="5808" max="5808" width="16" style="6" customWidth="1"/>
    <col min="5809" max="5809" width="17" style="6" bestFit="1" customWidth="1"/>
    <col min="5810" max="5810" width="2" style="6" customWidth="1"/>
    <col min="5811" max="5811" width="16" style="6" bestFit="1" customWidth="1"/>
    <col min="5812" max="5812" width="16.33203125" style="6" bestFit="1" customWidth="1"/>
    <col min="5813" max="5813" width="15.6640625" style="6" bestFit="1" customWidth="1"/>
    <col min="5814" max="5814" width="16.33203125" style="6" bestFit="1" customWidth="1"/>
    <col min="5815" max="5815" width="15" style="6" bestFit="1" customWidth="1"/>
    <col min="5816" max="5816" width="2" style="6" customWidth="1"/>
    <col min="5817" max="5817" width="17" style="6" bestFit="1" customWidth="1"/>
    <col min="5818" max="5818" width="16.6640625" style="6" bestFit="1" customWidth="1"/>
    <col min="5819" max="5819" width="17.33203125" style="6" bestFit="1" customWidth="1"/>
    <col min="5820" max="5820" width="16" style="6" bestFit="1" customWidth="1"/>
    <col min="5821" max="5821" width="17" style="6" customWidth="1"/>
    <col min="5822" max="5822" width="2" style="6" customWidth="1"/>
    <col min="5823" max="5823" width="16.33203125" style="6" bestFit="1" customWidth="1"/>
    <col min="5824" max="5824" width="18.88671875" style="6" bestFit="1" customWidth="1"/>
    <col min="5825" max="5825" width="16" style="6" bestFit="1" customWidth="1"/>
    <col min="5826" max="5826" width="16.33203125" style="6" bestFit="1" customWidth="1"/>
    <col min="5827" max="5827" width="15" style="6" bestFit="1" customWidth="1"/>
    <col min="5828" max="5828" width="2" style="6" customWidth="1"/>
    <col min="5829" max="5830" width="17" style="6" bestFit="1" customWidth="1"/>
    <col min="5831" max="5831" width="17.33203125" style="6" bestFit="1" customWidth="1"/>
    <col min="5832" max="5832" width="16" style="6" bestFit="1" customWidth="1"/>
    <col min="5833" max="5833" width="17" style="6" bestFit="1" customWidth="1"/>
    <col min="5834" max="5834" width="2.33203125" style="6" customWidth="1"/>
    <col min="5835" max="5835" width="17" style="6" customWidth="1"/>
    <col min="5836" max="5836" width="17" style="6" bestFit="1" customWidth="1"/>
    <col min="5837" max="5837" width="17.33203125" style="6" bestFit="1" customWidth="1"/>
    <col min="5838" max="5838" width="16" style="6" bestFit="1" customWidth="1"/>
    <col min="5839" max="5839" width="17" style="6" bestFit="1" customWidth="1"/>
    <col min="5840" max="5840" width="3" style="6" customWidth="1"/>
    <col min="5841" max="5841" width="16" style="6" bestFit="1" customWidth="1"/>
    <col min="5842" max="5842" width="17" style="6" bestFit="1" customWidth="1"/>
    <col min="5843" max="5843" width="17.33203125" style="6" bestFit="1" customWidth="1"/>
    <col min="5844" max="5844" width="16" style="6" bestFit="1" customWidth="1"/>
    <col min="5845" max="5845" width="17" style="6" bestFit="1" customWidth="1"/>
    <col min="5846" max="5846" width="3" style="6" customWidth="1"/>
    <col min="5847" max="5848" width="17.88671875" style="6" bestFit="1" customWidth="1"/>
    <col min="5849" max="5849" width="17.33203125" style="6" bestFit="1" customWidth="1"/>
    <col min="5850" max="5850" width="17.88671875" style="6" bestFit="1" customWidth="1"/>
    <col min="5851" max="5851" width="17" style="6" bestFit="1" customWidth="1"/>
    <col min="5852" max="5852" width="17.6640625" style="6" bestFit="1" customWidth="1"/>
    <col min="5853" max="5853" width="2" style="6" customWidth="1"/>
    <col min="5854" max="5854" width="19.88671875" style="6" bestFit="1" customWidth="1"/>
    <col min="5855" max="5855" width="18.88671875" style="6" bestFit="1" customWidth="1"/>
    <col min="5856" max="5856" width="19.5546875" style="6" bestFit="1" customWidth="1"/>
    <col min="5857" max="6028" width="11.44140625" style="6"/>
    <col min="6029" max="6029" width="18.6640625" style="6" customWidth="1"/>
    <col min="6030" max="6030" width="38.5546875" style="6" customWidth="1"/>
    <col min="6031" max="6031" width="21.5546875" style="6" bestFit="1" customWidth="1"/>
    <col min="6032" max="6032" width="20.44140625" style="6" bestFit="1" customWidth="1"/>
    <col min="6033" max="6033" width="17.33203125" style="6" bestFit="1" customWidth="1"/>
    <col min="6034" max="6034" width="18.33203125" style="6" bestFit="1" customWidth="1"/>
    <col min="6035" max="6035" width="17.44140625" style="6" bestFit="1" customWidth="1"/>
    <col min="6036" max="6036" width="1.44140625" style="6" customWidth="1"/>
    <col min="6037" max="6037" width="17.33203125" style="6" customWidth="1"/>
    <col min="6038" max="6038" width="17.88671875" style="6" bestFit="1" customWidth="1"/>
    <col min="6039" max="6039" width="17.33203125" style="6" customWidth="1"/>
    <col min="6040" max="6040" width="17.88671875" style="6" bestFit="1" customWidth="1"/>
    <col min="6041" max="6041" width="17" style="6" bestFit="1" customWidth="1"/>
    <col min="6042" max="6042" width="1.6640625" style="6" customWidth="1"/>
    <col min="6043" max="6043" width="17.33203125" style="6" bestFit="1" customWidth="1"/>
    <col min="6044" max="6044" width="17.88671875" style="6" bestFit="1" customWidth="1"/>
    <col min="6045" max="6045" width="17.33203125" style="6" bestFit="1" customWidth="1"/>
    <col min="6046" max="6046" width="17.88671875" style="6" bestFit="1" customWidth="1"/>
    <col min="6047" max="6047" width="17" style="6" bestFit="1" customWidth="1"/>
    <col min="6048" max="6048" width="2" style="6" customWidth="1"/>
    <col min="6049" max="6050" width="17" style="6" bestFit="1" customWidth="1"/>
    <col min="6051" max="6051" width="17.33203125" style="6" bestFit="1" customWidth="1"/>
    <col min="6052" max="6052" width="16" style="6" customWidth="1"/>
    <col min="6053" max="6053" width="17" style="6" bestFit="1" customWidth="1"/>
    <col min="6054" max="6054" width="2" style="6" customWidth="1"/>
    <col min="6055" max="6056" width="17" style="6" bestFit="1" customWidth="1"/>
    <col min="6057" max="6057" width="17.33203125" style="6" bestFit="1" customWidth="1"/>
    <col min="6058" max="6058" width="16" style="6" customWidth="1"/>
    <col min="6059" max="6059" width="17" style="6" bestFit="1" customWidth="1"/>
    <col min="6060" max="6060" width="2" style="6" customWidth="1"/>
    <col min="6061" max="6061" width="17" style="6" bestFit="1" customWidth="1"/>
    <col min="6062" max="6062" width="25.5546875" style="6" customWidth="1"/>
    <col min="6063" max="6063" width="19.109375" style="6" customWidth="1"/>
    <col min="6064" max="6064" width="16" style="6" customWidth="1"/>
    <col min="6065" max="6065" width="17" style="6" bestFit="1" customWidth="1"/>
    <col min="6066" max="6066" width="2" style="6" customWidth="1"/>
    <col min="6067" max="6067" width="16" style="6" bestFit="1" customWidth="1"/>
    <col min="6068" max="6068" width="16.33203125" style="6" bestFit="1" customWidth="1"/>
    <col min="6069" max="6069" width="15.6640625" style="6" bestFit="1" customWidth="1"/>
    <col min="6070" max="6070" width="16.33203125" style="6" bestFit="1" customWidth="1"/>
    <col min="6071" max="6071" width="15" style="6" bestFit="1" customWidth="1"/>
    <col min="6072" max="6072" width="2" style="6" customWidth="1"/>
    <col min="6073" max="6073" width="17" style="6" bestFit="1" customWidth="1"/>
    <col min="6074" max="6074" width="16.6640625" style="6" bestFit="1" customWidth="1"/>
    <col min="6075" max="6075" width="17.33203125" style="6" bestFit="1" customWidth="1"/>
    <col min="6076" max="6076" width="16" style="6" bestFit="1" customWidth="1"/>
    <col min="6077" max="6077" width="17" style="6" customWidth="1"/>
    <col min="6078" max="6078" width="2" style="6" customWidth="1"/>
    <col min="6079" max="6079" width="16.33203125" style="6" bestFit="1" customWidth="1"/>
    <col min="6080" max="6080" width="18.88671875" style="6" bestFit="1" customWidth="1"/>
    <col min="6081" max="6081" width="16" style="6" bestFit="1" customWidth="1"/>
    <col min="6082" max="6082" width="16.33203125" style="6" bestFit="1" customWidth="1"/>
    <col min="6083" max="6083" width="15" style="6" bestFit="1" customWidth="1"/>
    <col min="6084" max="6084" width="2" style="6" customWidth="1"/>
    <col min="6085" max="6086" width="17" style="6" bestFit="1" customWidth="1"/>
    <col min="6087" max="6087" width="17.33203125" style="6" bestFit="1" customWidth="1"/>
    <col min="6088" max="6088" width="16" style="6" bestFit="1" customWidth="1"/>
    <col min="6089" max="6089" width="17" style="6" bestFit="1" customWidth="1"/>
    <col min="6090" max="6090" width="2.33203125" style="6" customWidth="1"/>
    <col min="6091" max="6091" width="17" style="6" customWidth="1"/>
    <col min="6092" max="6092" width="17" style="6" bestFit="1" customWidth="1"/>
    <col min="6093" max="6093" width="17.33203125" style="6" bestFit="1" customWidth="1"/>
    <col min="6094" max="6094" width="16" style="6" bestFit="1" customWidth="1"/>
    <col min="6095" max="6095" width="17" style="6" bestFit="1" customWidth="1"/>
    <col min="6096" max="6096" width="3" style="6" customWidth="1"/>
    <col min="6097" max="6097" width="16" style="6" bestFit="1" customWidth="1"/>
    <col min="6098" max="6098" width="17" style="6" bestFit="1" customWidth="1"/>
    <col min="6099" max="6099" width="17.33203125" style="6" bestFit="1" customWidth="1"/>
    <col min="6100" max="6100" width="16" style="6" bestFit="1" customWidth="1"/>
    <col min="6101" max="6101" width="17" style="6" bestFit="1" customWidth="1"/>
    <col min="6102" max="6102" width="3" style="6" customWidth="1"/>
    <col min="6103" max="6104" width="17.88671875" style="6" bestFit="1" customWidth="1"/>
    <col min="6105" max="6105" width="17.33203125" style="6" bestFit="1" customWidth="1"/>
    <col min="6106" max="6106" width="17.88671875" style="6" bestFit="1" customWidth="1"/>
    <col min="6107" max="6107" width="17" style="6" bestFit="1" customWidth="1"/>
    <col min="6108" max="6108" width="17.6640625" style="6" bestFit="1" customWidth="1"/>
    <col min="6109" max="6109" width="2" style="6" customWidth="1"/>
    <col min="6110" max="6110" width="19.88671875" style="6" bestFit="1" customWidth="1"/>
    <col min="6111" max="6111" width="18.88671875" style="6" bestFit="1" customWidth="1"/>
    <col min="6112" max="6112" width="19.5546875" style="6" bestFit="1" customWidth="1"/>
    <col min="6113" max="6284" width="11.44140625" style="6"/>
    <col min="6285" max="6285" width="18.6640625" style="6" customWidth="1"/>
    <col min="6286" max="6286" width="38.5546875" style="6" customWidth="1"/>
    <col min="6287" max="6287" width="21.5546875" style="6" bestFit="1" customWidth="1"/>
    <col min="6288" max="6288" width="20.44140625" style="6" bestFit="1" customWidth="1"/>
    <col min="6289" max="6289" width="17.33203125" style="6" bestFit="1" customWidth="1"/>
    <col min="6290" max="6290" width="18.33203125" style="6" bestFit="1" customWidth="1"/>
    <col min="6291" max="6291" width="17.44140625" style="6" bestFit="1" customWidth="1"/>
    <col min="6292" max="6292" width="1.44140625" style="6" customWidth="1"/>
    <col min="6293" max="6293" width="17.33203125" style="6" customWidth="1"/>
    <col min="6294" max="6294" width="17.88671875" style="6" bestFit="1" customWidth="1"/>
    <col min="6295" max="6295" width="17.33203125" style="6" customWidth="1"/>
    <col min="6296" max="6296" width="17.88671875" style="6" bestFit="1" customWidth="1"/>
    <col min="6297" max="6297" width="17" style="6" bestFit="1" customWidth="1"/>
    <col min="6298" max="6298" width="1.6640625" style="6" customWidth="1"/>
    <col min="6299" max="6299" width="17.33203125" style="6" bestFit="1" customWidth="1"/>
    <col min="6300" max="6300" width="17.88671875" style="6" bestFit="1" customWidth="1"/>
    <col min="6301" max="6301" width="17.33203125" style="6" bestFit="1" customWidth="1"/>
    <col min="6302" max="6302" width="17.88671875" style="6" bestFit="1" customWidth="1"/>
    <col min="6303" max="6303" width="17" style="6" bestFit="1" customWidth="1"/>
    <col min="6304" max="6304" width="2" style="6" customWidth="1"/>
    <col min="6305" max="6306" width="17" style="6" bestFit="1" customWidth="1"/>
    <col min="6307" max="6307" width="17.33203125" style="6" bestFit="1" customWidth="1"/>
    <col min="6308" max="6308" width="16" style="6" customWidth="1"/>
    <col min="6309" max="6309" width="17" style="6" bestFit="1" customWidth="1"/>
    <col min="6310" max="6310" width="2" style="6" customWidth="1"/>
    <col min="6311" max="6312" width="17" style="6" bestFit="1" customWidth="1"/>
    <col min="6313" max="6313" width="17.33203125" style="6" bestFit="1" customWidth="1"/>
    <col min="6314" max="6314" width="16" style="6" customWidth="1"/>
    <col min="6315" max="6315" width="17" style="6" bestFit="1" customWidth="1"/>
    <col min="6316" max="6316" width="2" style="6" customWidth="1"/>
    <col min="6317" max="6317" width="17" style="6" bestFit="1" customWidth="1"/>
    <col min="6318" max="6318" width="25.5546875" style="6" customWidth="1"/>
    <col min="6319" max="6319" width="19.109375" style="6" customWidth="1"/>
    <col min="6320" max="6320" width="16" style="6" customWidth="1"/>
    <col min="6321" max="6321" width="17" style="6" bestFit="1" customWidth="1"/>
    <col min="6322" max="6322" width="2" style="6" customWidth="1"/>
    <col min="6323" max="6323" width="16" style="6" bestFit="1" customWidth="1"/>
    <col min="6324" max="6324" width="16.33203125" style="6" bestFit="1" customWidth="1"/>
    <col min="6325" max="6325" width="15.6640625" style="6" bestFit="1" customWidth="1"/>
    <col min="6326" max="6326" width="16.33203125" style="6" bestFit="1" customWidth="1"/>
    <col min="6327" max="6327" width="15" style="6" bestFit="1" customWidth="1"/>
    <col min="6328" max="6328" width="2" style="6" customWidth="1"/>
    <col min="6329" max="6329" width="17" style="6" bestFit="1" customWidth="1"/>
    <col min="6330" max="6330" width="16.6640625" style="6" bestFit="1" customWidth="1"/>
    <col min="6331" max="6331" width="17.33203125" style="6" bestFit="1" customWidth="1"/>
    <col min="6332" max="6332" width="16" style="6" bestFit="1" customWidth="1"/>
    <col min="6333" max="6333" width="17" style="6" customWidth="1"/>
    <col min="6334" max="6334" width="2" style="6" customWidth="1"/>
    <col min="6335" max="6335" width="16.33203125" style="6" bestFit="1" customWidth="1"/>
    <col min="6336" max="6336" width="18.88671875" style="6" bestFit="1" customWidth="1"/>
    <col min="6337" max="6337" width="16" style="6" bestFit="1" customWidth="1"/>
    <col min="6338" max="6338" width="16.33203125" style="6" bestFit="1" customWidth="1"/>
    <col min="6339" max="6339" width="15" style="6" bestFit="1" customWidth="1"/>
    <col min="6340" max="6340" width="2" style="6" customWidth="1"/>
    <col min="6341" max="6342" width="17" style="6" bestFit="1" customWidth="1"/>
    <col min="6343" max="6343" width="17.33203125" style="6" bestFit="1" customWidth="1"/>
    <col min="6344" max="6344" width="16" style="6" bestFit="1" customWidth="1"/>
    <col min="6345" max="6345" width="17" style="6" bestFit="1" customWidth="1"/>
    <col min="6346" max="6346" width="2.33203125" style="6" customWidth="1"/>
    <col min="6347" max="6347" width="17" style="6" customWidth="1"/>
    <col min="6348" max="6348" width="17" style="6" bestFit="1" customWidth="1"/>
    <col min="6349" max="6349" width="17.33203125" style="6" bestFit="1" customWidth="1"/>
    <col min="6350" max="6350" width="16" style="6" bestFit="1" customWidth="1"/>
    <col min="6351" max="6351" width="17" style="6" bestFit="1" customWidth="1"/>
    <col min="6352" max="6352" width="3" style="6" customWidth="1"/>
    <col min="6353" max="6353" width="16" style="6" bestFit="1" customWidth="1"/>
    <col min="6354" max="6354" width="17" style="6" bestFit="1" customWidth="1"/>
    <col min="6355" max="6355" width="17.33203125" style="6" bestFit="1" customWidth="1"/>
    <col min="6356" max="6356" width="16" style="6" bestFit="1" customWidth="1"/>
    <col min="6357" max="6357" width="17" style="6" bestFit="1" customWidth="1"/>
    <col min="6358" max="6358" width="3" style="6" customWidth="1"/>
    <col min="6359" max="6360" width="17.88671875" style="6" bestFit="1" customWidth="1"/>
    <col min="6361" max="6361" width="17.33203125" style="6" bestFit="1" customWidth="1"/>
    <col min="6362" max="6362" width="17.88671875" style="6" bestFit="1" customWidth="1"/>
    <col min="6363" max="6363" width="17" style="6" bestFit="1" customWidth="1"/>
    <col min="6364" max="6364" width="17.6640625" style="6" bestFit="1" customWidth="1"/>
    <col min="6365" max="6365" width="2" style="6" customWidth="1"/>
    <col min="6366" max="6366" width="19.88671875" style="6" bestFit="1" customWidth="1"/>
    <col min="6367" max="6367" width="18.88671875" style="6" bestFit="1" customWidth="1"/>
    <col min="6368" max="6368" width="19.5546875" style="6" bestFit="1" customWidth="1"/>
    <col min="6369" max="6540" width="11.44140625" style="6"/>
    <col min="6541" max="6541" width="18.6640625" style="6" customWidth="1"/>
    <col min="6542" max="6542" width="38.5546875" style="6" customWidth="1"/>
    <col min="6543" max="6543" width="21.5546875" style="6" bestFit="1" customWidth="1"/>
    <col min="6544" max="6544" width="20.44140625" style="6" bestFit="1" customWidth="1"/>
    <col min="6545" max="6545" width="17.33203125" style="6" bestFit="1" customWidth="1"/>
    <col min="6546" max="6546" width="18.33203125" style="6" bestFit="1" customWidth="1"/>
    <col min="6547" max="6547" width="17.44140625" style="6" bestFit="1" customWidth="1"/>
    <col min="6548" max="6548" width="1.44140625" style="6" customWidth="1"/>
    <col min="6549" max="6549" width="17.33203125" style="6" customWidth="1"/>
    <col min="6550" max="6550" width="17.88671875" style="6" bestFit="1" customWidth="1"/>
    <col min="6551" max="6551" width="17.33203125" style="6" customWidth="1"/>
    <col min="6552" max="6552" width="17.88671875" style="6" bestFit="1" customWidth="1"/>
    <col min="6553" max="6553" width="17" style="6" bestFit="1" customWidth="1"/>
    <col min="6554" max="6554" width="1.6640625" style="6" customWidth="1"/>
    <col min="6555" max="6555" width="17.33203125" style="6" bestFit="1" customWidth="1"/>
    <col min="6556" max="6556" width="17.88671875" style="6" bestFit="1" customWidth="1"/>
    <col min="6557" max="6557" width="17.33203125" style="6" bestFit="1" customWidth="1"/>
    <col min="6558" max="6558" width="17.88671875" style="6" bestFit="1" customWidth="1"/>
    <col min="6559" max="6559" width="17" style="6" bestFit="1" customWidth="1"/>
    <col min="6560" max="6560" width="2" style="6" customWidth="1"/>
    <col min="6561" max="6562" width="17" style="6" bestFit="1" customWidth="1"/>
    <col min="6563" max="6563" width="17.33203125" style="6" bestFit="1" customWidth="1"/>
    <col min="6564" max="6564" width="16" style="6" customWidth="1"/>
    <col min="6565" max="6565" width="17" style="6" bestFit="1" customWidth="1"/>
    <col min="6566" max="6566" width="2" style="6" customWidth="1"/>
    <col min="6567" max="6568" width="17" style="6" bestFit="1" customWidth="1"/>
    <col min="6569" max="6569" width="17.33203125" style="6" bestFit="1" customWidth="1"/>
    <col min="6570" max="6570" width="16" style="6" customWidth="1"/>
    <col min="6571" max="6571" width="17" style="6" bestFit="1" customWidth="1"/>
    <col min="6572" max="6572" width="2" style="6" customWidth="1"/>
    <col min="6573" max="6573" width="17" style="6" bestFit="1" customWidth="1"/>
    <col min="6574" max="6574" width="25.5546875" style="6" customWidth="1"/>
    <col min="6575" max="6575" width="19.109375" style="6" customWidth="1"/>
    <col min="6576" max="6576" width="16" style="6" customWidth="1"/>
    <col min="6577" max="6577" width="17" style="6" bestFit="1" customWidth="1"/>
    <col min="6578" max="6578" width="2" style="6" customWidth="1"/>
    <col min="6579" max="6579" width="16" style="6" bestFit="1" customWidth="1"/>
    <col min="6580" max="6580" width="16.33203125" style="6" bestFit="1" customWidth="1"/>
    <col min="6581" max="6581" width="15.6640625" style="6" bestFit="1" customWidth="1"/>
    <col min="6582" max="6582" width="16.33203125" style="6" bestFit="1" customWidth="1"/>
    <col min="6583" max="6583" width="15" style="6" bestFit="1" customWidth="1"/>
    <col min="6584" max="6584" width="2" style="6" customWidth="1"/>
    <col min="6585" max="6585" width="17" style="6" bestFit="1" customWidth="1"/>
    <col min="6586" max="6586" width="16.6640625" style="6" bestFit="1" customWidth="1"/>
    <col min="6587" max="6587" width="17.33203125" style="6" bestFit="1" customWidth="1"/>
    <col min="6588" max="6588" width="16" style="6" bestFit="1" customWidth="1"/>
    <col min="6589" max="6589" width="17" style="6" customWidth="1"/>
    <col min="6590" max="6590" width="2" style="6" customWidth="1"/>
    <col min="6591" max="6591" width="16.33203125" style="6" bestFit="1" customWidth="1"/>
    <col min="6592" max="6592" width="18.88671875" style="6" bestFit="1" customWidth="1"/>
    <col min="6593" max="6593" width="16" style="6" bestFit="1" customWidth="1"/>
    <col min="6594" max="6594" width="16.33203125" style="6" bestFit="1" customWidth="1"/>
    <col min="6595" max="6595" width="15" style="6" bestFit="1" customWidth="1"/>
    <col min="6596" max="6596" width="2" style="6" customWidth="1"/>
    <col min="6597" max="6598" width="17" style="6" bestFit="1" customWidth="1"/>
    <col min="6599" max="6599" width="17.33203125" style="6" bestFit="1" customWidth="1"/>
    <col min="6600" max="6600" width="16" style="6" bestFit="1" customWidth="1"/>
    <col min="6601" max="6601" width="17" style="6" bestFit="1" customWidth="1"/>
    <col min="6602" max="6602" width="2.33203125" style="6" customWidth="1"/>
    <col min="6603" max="6603" width="17" style="6" customWidth="1"/>
    <col min="6604" max="6604" width="17" style="6" bestFit="1" customWidth="1"/>
    <col min="6605" max="6605" width="17.33203125" style="6" bestFit="1" customWidth="1"/>
    <col min="6606" max="6606" width="16" style="6" bestFit="1" customWidth="1"/>
    <col min="6607" max="6607" width="17" style="6" bestFit="1" customWidth="1"/>
    <col min="6608" max="6608" width="3" style="6" customWidth="1"/>
    <col min="6609" max="6609" width="16" style="6" bestFit="1" customWidth="1"/>
    <col min="6610" max="6610" width="17" style="6" bestFit="1" customWidth="1"/>
    <col min="6611" max="6611" width="17.33203125" style="6" bestFit="1" customWidth="1"/>
    <col min="6612" max="6612" width="16" style="6" bestFit="1" customWidth="1"/>
    <col min="6613" max="6613" width="17" style="6" bestFit="1" customWidth="1"/>
    <col min="6614" max="6614" width="3" style="6" customWidth="1"/>
    <col min="6615" max="6616" width="17.88671875" style="6" bestFit="1" customWidth="1"/>
    <col min="6617" max="6617" width="17.33203125" style="6" bestFit="1" customWidth="1"/>
    <col min="6618" max="6618" width="17.88671875" style="6" bestFit="1" customWidth="1"/>
    <col min="6619" max="6619" width="17" style="6" bestFit="1" customWidth="1"/>
    <col min="6620" max="6620" width="17.6640625" style="6" bestFit="1" customWidth="1"/>
    <col min="6621" max="6621" width="2" style="6" customWidth="1"/>
    <col min="6622" max="6622" width="19.88671875" style="6" bestFit="1" customWidth="1"/>
    <col min="6623" max="6623" width="18.88671875" style="6" bestFit="1" customWidth="1"/>
    <col min="6624" max="6624" width="19.5546875" style="6" bestFit="1" customWidth="1"/>
    <col min="6625" max="6796" width="11.44140625" style="6"/>
    <col min="6797" max="6797" width="18.6640625" style="6" customWidth="1"/>
    <col min="6798" max="6798" width="38.5546875" style="6" customWidth="1"/>
    <col min="6799" max="6799" width="21.5546875" style="6" bestFit="1" customWidth="1"/>
    <col min="6800" max="6800" width="20.44140625" style="6" bestFit="1" customWidth="1"/>
    <col min="6801" max="6801" width="17.33203125" style="6" bestFit="1" customWidth="1"/>
    <col min="6802" max="6802" width="18.33203125" style="6" bestFit="1" customWidth="1"/>
    <col min="6803" max="6803" width="17.44140625" style="6" bestFit="1" customWidth="1"/>
    <col min="6804" max="6804" width="1.44140625" style="6" customWidth="1"/>
    <col min="6805" max="6805" width="17.33203125" style="6" customWidth="1"/>
    <col min="6806" max="6806" width="17.88671875" style="6" bestFit="1" customWidth="1"/>
    <col min="6807" max="6807" width="17.33203125" style="6" customWidth="1"/>
    <col min="6808" max="6808" width="17.88671875" style="6" bestFit="1" customWidth="1"/>
    <col min="6809" max="6809" width="17" style="6" bestFit="1" customWidth="1"/>
    <col min="6810" max="6810" width="1.6640625" style="6" customWidth="1"/>
    <col min="6811" max="6811" width="17.33203125" style="6" bestFit="1" customWidth="1"/>
    <col min="6812" max="6812" width="17.88671875" style="6" bestFit="1" customWidth="1"/>
    <col min="6813" max="6813" width="17.33203125" style="6" bestFit="1" customWidth="1"/>
    <col min="6814" max="6814" width="17.88671875" style="6" bestFit="1" customWidth="1"/>
    <col min="6815" max="6815" width="17" style="6" bestFit="1" customWidth="1"/>
    <col min="6816" max="6816" width="2" style="6" customWidth="1"/>
    <col min="6817" max="6818" width="17" style="6" bestFit="1" customWidth="1"/>
    <col min="6819" max="6819" width="17.33203125" style="6" bestFit="1" customWidth="1"/>
    <col min="6820" max="6820" width="16" style="6" customWidth="1"/>
    <col min="6821" max="6821" width="17" style="6" bestFit="1" customWidth="1"/>
    <col min="6822" max="6822" width="2" style="6" customWidth="1"/>
    <col min="6823" max="6824" width="17" style="6" bestFit="1" customWidth="1"/>
    <col min="6825" max="6825" width="17.33203125" style="6" bestFit="1" customWidth="1"/>
    <col min="6826" max="6826" width="16" style="6" customWidth="1"/>
    <col min="6827" max="6827" width="17" style="6" bestFit="1" customWidth="1"/>
    <col min="6828" max="6828" width="2" style="6" customWidth="1"/>
    <col min="6829" max="6829" width="17" style="6" bestFit="1" customWidth="1"/>
    <col min="6830" max="6830" width="25.5546875" style="6" customWidth="1"/>
    <col min="6831" max="6831" width="19.109375" style="6" customWidth="1"/>
    <col min="6832" max="6832" width="16" style="6" customWidth="1"/>
    <col min="6833" max="6833" width="17" style="6" bestFit="1" customWidth="1"/>
    <col min="6834" max="6834" width="2" style="6" customWidth="1"/>
    <col min="6835" max="6835" width="16" style="6" bestFit="1" customWidth="1"/>
    <col min="6836" max="6836" width="16.33203125" style="6" bestFit="1" customWidth="1"/>
    <col min="6837" max="6837" width="15.6640625" style="6" bestFit="1" customWidth="1"/>
    <col min="6838" max="6838" width="16.33203125" style="6" bestFit="1" customWidth="1"/>
    <col min="6839" max="6839" width="15" style="6" bestFit="1" customWidth="1"/>
    <col min="6840" max="6840" width="2" style="6" customWidth="1"/>
    <col min="6841" max="6841" width="17" style="6" bestFit="1" customWidth="1"/>
    <col min="6842" max="6842" width="16.6640625" style="6" bestFit="1" customWidth="1"/>
    <col min="6843" max="6843" width="17.33203125" style="6" bestFit="1" customWidth="1"/>
    <col min="6844" max="6844" width="16" style="6" bestFit="1" customWidth="1"/>
    <col min="6845" max="6845" width="17" style="6" customWidth="1"/>
    <col min="6846" max="6846" width="2" style="6" customWidth="1"/>
    <col min="6847" max="6847" width="16.33203125" style="6" bestFit="1" customWidth="1"/>
    <col min="6848" max="6848" width="18.88671875" style="6" bestFit="1" customWidth="1"/>
    <col min="6849" max="6849" width="16" style="6" bestFit="1" customWidth="1"/>
    <col min="6850" max="6850" width="16.33203125" style="6" bestFit="1" customWidth="1"/>
    <col min="6851" max="6851" width="15" style="6" bestFit="1" customWidth="1"/>
    <col min="6852" max="6852" width="2" style="6" customWidth="1"/>
    <col min="6853" max="6854" width="17" style="6" bestFit="1" customWidth="1"/>
    <col min="6855" max="6855" width="17.33203125" style="6" bestFit="1" customWidth="1"/>
    <col min="6856" max="6856" width="16" style="6" bestFit="1" customWidth="1"/>
    <col min="6857" max="6857" width="17" style="6" bestFit="1" customWidth="1"/>
    <col min="6858" max="6858" width="2.33203125" style="6" customWidth="1"/>
    <col min="6859" max="6859" width="17" style="6" customWidth="1"/>
    <col min="6860" max="6860" width="17" style="6" bestFit="1" customWidth="1"/>
    <col min="6861" max="6861" width="17.33203125" style="6" bestFit="1" customWidth="1"/>
    <col min="6862" max="6862" width="16" style="6" bestFit="1" customWidth="1"/>
    <col min="6863" max="6863" width="17" style="6" bestFit="1" customWidth="1"/>
    <col min="6864" max="6864" width="3" style="6" customWidth="1"/>
    <col min="6865" max="6865" width="16" style="6" bestFit="1" customWidth="1"/>
    <col min="6866" max="6866" width="17" style="6" bestFit="1" customWidth="1"/>
    <col min="6867" max="6867" width="17.33203125" style="6" bestFit="1" customWidth="1"/>
    <col min="6868" max="6868" width="16" style="6" bestFit="1" customWidth="1"/>
    <col min="6869" max="6869" width="17" style="6" bestFit="1" customWidth="1"/>
    <col min="6870" max="6870" width="3" style="6" customWidth="1"/>
    <col min="6871" max="6872" width="17.88671875" style="6" bestFit="1" customWidth="1"/>
    <col min="6873" max="6873" width="17.33203125" style="6" bestFit="1" customWidth="1"/>
    <col min="6874" max="6874" width="17.88671875" style="6" bestFit="1" customWidth="1"/>
    <col min="6875" max="6875" width="17" style="6" bestFit="1" customWidth="1"/>
    <col min="6876" max="6876" width="17.6640625" style="6" bestFit="1" customWidth="1"/>
    <col min="6877" max="6877" width="2" style="6" customWidth="1"/>
    <col min="6878" max="6878" width="19.88671875" style="6" bestFit="1" customWidth="1"/>
    <col min="6879" max="6879" width="18.88671875" style="6" bestFit="1" customWidth="1"/>
    <col min="6880" max="6880" width="19.5546875" style="6" bestFit="1" customWidth="1"/>
    <col min="6881" max="7052" width="11.44140625" style="6"/>
    <col min="7053" max="7053" width="18.6640625" style="6" customWidth="1"/>
    <col min="7054" max="7054" width="38.5546875" style="6" customWidth="1"/>
    <col min="7055" max="7055" width="21.5546875" style="6" bestFit="1" customWidth="1"/>
    <col min="7056" max="7056" width="20.44140625" style="6" bestFit="1" customWidth="1"/>
    <col min="7057" max="7057" width="17.33203125" style="6" bestFit="1" customWidth="1"/>
    <col min="7058" max="7058" width="18.33203125" style="6" bestFit="1" customWidth="1"/>
    <col min="7059" max="7059" width="17.44140625" style="6" bestFit="1" customWidth="1"/>
    <col min="7060" max="7060" width="1.44140625" style="6" customWidth="1"/>
    <col min="7061" max="7061" width="17.33203125" style="6" customWidth="1"/>
    <col min="7062" max="7062" width="17.88671875" style="6" bestFit="1" customWidth="1"/>
    <col min="7063" max="7063" width="17.33203125" style="6" customWidth="1"/>
    <col min="7064" max="7064" width="17.88671875" style="6" bestFit="1" customWidth="1"/>
    <col min="7065" max="7065" width="17" style="6" bestFit="1" customWidth="1"/>
    <col min="7066" max="7066" width="1.6640625" style="6" customWidth="1"/>
    <col min="7067" max="7067" width="17.33203125" style="6" bestFit="1" customWidth="1"/>
    <col min="7068" max="7068" width="17.88671875" style="6" bestFit="1" customWidth="1"/>
    <col min="7069" max="7069" width="17.33203125" style="6" bestFit="1" customWidth="1"/>
    <col min="7070" max="7070" width="17.88671875" style="6" bestFit="1" customWidth="1"/>
    <col min="7071" max="7071" width="17" style="6" bestFit="1" customWidth="1"/>
    <col min="7072" max="7072" width="2" style="6" customWidth="1"/>
    <col min="7073" max="7074" width="17" style="6" bestFit="1" customWidth="1"/>
    <col min="7075" max="7075" width="17.33203125" style="6" bestFit="1" customWidth="1"/>
    <col min="7076" max="7076" width="16" style="6" customWidth="1"/>
    <col min="7077" max="7077" width="17" style="6" bestFit="1" customWidth="1"/>
    <col min="7078" max="7078" width="2" style="6" customWidth="1"/>
    <col min="7079" max="7080" width="17" style="6" bestFit="1" customWidth="1"/>
    <col min="7081" max="7081" width="17.33203125" style="6" bestFit="1" customWidth="1"/>
    <col min="7082" max="7082" width="16" style="6" customWidth="1"/>
    <col min="7083" max="7083" width="17" style="6" bestFit="1" customWidth="1"/>
    <col min="7084" max="7084" width="2" style="6" customWidth="1"/>
    <col min="7085" max="7085" width="17" style="6" bestFit="1" customWidth="1"/>
    <col min="7086" max="7086" width="25.5546875" style="6" customWidth="1"/>
    <col min="7087" max="7087" width="19.109375" style="6" customWidth="1"/>
    <col min="7088" max="7088" width="16" style="6" customWidth="1"/>
    <col min="7089" max="7089" width="17" style="6" bestFit="1" customWidth="1"/>
    <col min="7090" max="7090" width="2" style="6" customWidth="1"/>
    <col min="7091" max="7091" width="16" style="6" bestFit="1" customWidth="1"/>
    <col min="7092" max="7092" width="16.33203125" style="6" bestFit="1" customWidth="1"/>
    <col min="7093" max="7093" width="15.6640625" style="6" bestFit="1" customWidth="1"/>
    <col min="7094" max="7094" width="16.33203125" style="6" bestFit="1" customWidth="1"/>
    <col min="7095" max="7095" width="15" style="6" bestFit="1" customWidth="1"/>
    <col min="7096" max="7096" width="2" style="6" customWidth="1"/>
    <col min="7097" max="7097" width="17" style="6" bestFit="1" customWidth="1"/>
    <col min="7098" max="7098" width="16.6640625" style="6" bestFit="1" customWidth="1"/>
    <col min="7099" max="7099" width="17.33203125" style="6" bestFit="1" customWidth="1"/>
    <col min="7100" max="7100" width="16" style="6" bestFit="1" customWidth="1"/>
    <col min="7101" max="7101" width="17" style="6" customWidth="1"/>
    <col min="7102" max="7102" width="2" style="6" customWidth="1"/>
    <col min="7103" max="7103" width="16.33203125" style="6" bestFit="1" customWidth="1"/>
    <col min="7104" max="7104" width="18.88671875" style="6" bestFit="1" customWidth="1"/>
    <col min="7105" max="7105" width="16" style="6" bestFit="1" customWidth="1"/>
    <col min="7106" max="7106" width="16.33203125" style="6" bestFit="1" customWidth="1"/>
    <col min="7107" max="7107" width="15" style="6" bestFit="1" customWidth="1"/>
    <col min="7108" max="7108" width="2" style="6" customWidth="1"/>
    <col min="7109" max="7110" width="17" style="6" bestFit="1" customWidth="1"/>
    <col min="7111" max="7111" width="17.33203125" style="6" bestFit="1" customWidth="1"/>
    <col min="7112" max="7112" width="16" style="6" bestFit="1" customWidth="1"/>
    <col min="7113" max="7113" width="17" style="6" bestFit="1" customWidth="1"/>
    <col min="7114" max="7114" width="2.33203125" style="6" customWidth="1"/>
    <col min="7115" max="7115" width="17" style="6" customWidth="1"/>
    <col min="7116" max="7116" width="17" style="6" bestFit="1" customWidth="1"/>
    <col min="7117" max="7117" width="17.33203125" style="6" bestFit="1" customWidth="1"/>
    <col min="7118" max="7118" width="16" style="6" bestFit="1" customWidth="1"/>
    <col min="7119" max="7119" width="17" style="6" bestFit="1" customWidth="1"/>
    <col min="7120" max="7120" width="3" style="6" customWidth="1"/>
    <col min="7121" max="7121" width="16" style="6" bestFit="1" customWidth="1"/>
    <col min="7122" max="7122" width="17" style="6" bestFit="1" customWidth="1"/>
    <col min="7123" max="7123" width="17.33203125" style="6" bestFit="1" customWidth="1"/>
    <col min="7124" max="7124" width="16" style="6" bestFit="1" customWidth="1"/>
    <col min="7125" max="7125" width="17" style="6" bestFit="1" customWidth="1"/>
    <col min="7126" max="7126" width="3" style="6" customWidth="1"/>
    <col min="7127" max="7128" width="17.88671875" style="6" bestFit="1" customWidth="1"/>
    <col min="7129" max="7129" width="17.33203125" style="6" bestFit="1" customWidth="1"/>
    <col min="7130" max="7130" width="17.88671875" style="6" bestFit="1" customWidth="1"/>
    <col min="7131" max="7131" width="17" style="6" bestFit="1" customWidth="1"/>
    <col min="7132" max="7132" width="17.6640625" style="6" bestFit="1" customWidth="1"/>
    <col min="7133" max="7133" width="2" style="6" customWidth="1"/>
    <col min="7134" max="7134" width="19.88671875" style="6" bestFit="1" customWidth="1"/>
    <col min="7135" max="7135" width="18.88671875" style="6" bestFit="1" customWidth="1"/>
    <col min="7136" max="7136" width="19.5546875" style="6" bestFit="1" customWidth="1"/>
    <col min="7137" max="7308" width="11.44140625" style="6"/>
    <col min="7309" max="7309" width="18.6640625" style="6" customWidth="1"/>
    <col min="7310" max="7310" width="38.5546875" style="6" customWidth="1"/>
    <col min="7311" max="7311" width="21.5546875" style="6" bestFit="1" customWidth="1"/>
    <col min="7312" max="7312" width="20.44140625" style="6" bestFit="1" customWidth="1"/>
    <col min="7313" max="7313" width="17.33203125" style="6" bestFit="1" customWidth="1"/>
    <col min="7314" max="7314" width="18.33203125" style="6" bestFit="1" customWidth="1"/>
    <col min="7315" max="7315" width="17.44140625" style="6" bestFit="1" customWidth="1"/>
    <col min="7316" max="7316" width="1.44140625" style="6" customWidth="1"/>
    <col min="7317" max="7317" width="17.33203125" style="6" customWidth="1"/>
    <col min="7318" max="7318" width="17.88671875" style="6" bestFit="1" customWidth="1"/>
    <col min="7319" max="7319" width="17.33203125" style="6" customWidth="1"/>
    <col min="7320" max="7320" width="17.88671875" style="6" bestFit="1" customWidth="1"/>
    <col min="7321" max="7321" width="17" style="6" bestFit="1" customWidth="1"/>
    <col min="7322" max="7322" width="1.6640625" style="6" customWidth="1"/>
    <col min="7323" max="7323" width="17.33203125" style="6" bestFit="1" customWidth="1"/>
    <col min="7324" max="7324" width="17.88671875" style="6" bestFit="1" customWidth="1"/>
    <col min="7325" max="7325" width="17.33203125" style="6" bestFit="1" customWidth="1"/>
    <col min="7326" max="7326" width="17.88671875" style="6" bestFit="1" customWidth="1"/>
    <col min="7327" max="7327" width="17" style="6" bestFit="1" customWidth="1"/>
    <col min="7328" max="7328" width="2" style="6" customWidth="1"/>
    <col min="7329" max="7330" width="17" style="6" bestFit="1" customWidth="1"/>
    <col min="7331" max="7331" width="17.33203125" style="6" bestFit="1" customWidth="1"/>
    <col min="7332" max="7332" width="16" style="6" customWidth="1"/>
    <col min="7333" max="7333" width="17" style="6" bestFit="1" customWidth="1"/>
    <col min="7334" max="7334" width="2" style="6" customWidth="1"/>
    <col min="7335" max="7336" width="17" style="6" bestFit="1" customWidth="1"/>
    <col min="7337" max="7337" width="17.33203125" style="6" bestFit="1" customWidth="1"/>
    <col min="7338" max="7338" width="16" style="6" customWidth="1"/>
    <col min="7339" max="7339" width="17" style="6" bestFit="1" customWidth="1"/>
    <col min="7340" max="7340" width="2" style="6" customWidth="1"/>
    <col min="7341" max="7341" width="17" style="6" bestFit="1" customWidth="1"/>
    <col min="7342" max="7342" width="25.5546875" style="6" customWidth="1"/>
    <col min="7343" max="7343" width="19.109375" style="6" customWidth="1"/>
    <col min="7344" max="7344" width="16" style="6" customWidth="1"/>
    <col min="7345" max="7345" width="17" style="6" bestFit="1" customWidth="1"/>
    <col min="7346" max="7346" width="2" style="6" customWidth="1"/>
    <col min="7347" max="7347" width="16" style="6" bestFit="1" customWidth="1"/>
    <col min="7348" max="7348" width="16.33203125" style="6" bestFit="1" customWidth="1"/>
    <col min="7349" max="7349" width="15.6640625" style="6" bestFit="1" customWidth="1"/>
    <col min="7350" max="7350" width="16.33203125" style="6" bestFit="1" customWidth="1"/>
    <col min="7351" max="7351" width="15" style="6" bestFit="1" customWidth="1"/>
    <col min="7352" max="7352" width="2" style="6" customWidth="1"/>
    <col min="7353" max="7353" width="17" style="6" bestFit="1" customWidth="1"/>
    <col min="7354" max="7354" width="16.6640625" style="6" bestFit="1" customWidth="1"/>
    <col min="7355" max="7355" width="17.33203125" style="6" bestFit="1" customWidth="1"/>
    <col min="7356" max="7356" width="16" style="6" bestFit="1" customWidth="1"/>
    <col min="7357" max="7357" width="17" style="6" customWidth="1"/>
    <col min="7358" max="7358" width="2" style="6" customWidth="1"/>
    <col min="7359" max="7359" width="16.33203125" style="6" bestFit="1" customWidth="1"/>
    <col min="7360" max="7360" width="18.88671875" style="6" bestFit="1" customWidth="1"/>
    <col min="7361" max="7361" width="16" style="6" bestFit="1" customWidth="1"/>
    <col min="7362" max="7362" width="16.33203125" style="6" bestFit="1" customWidth="1"/>
    <col min="7363" max="7363" width="15" style="6" bestFit="1" customWidth="1"/>
    <col min="7364" max="7364" width="2" style="6" customWidth="1"/>
    <col min="7365" max="7366" width="17" style="6" bestFit="1" customWidth="1"/>
    <col min="7367" max="7367" width="17.33203125" style="6" bestFit="1" customWidth="1"/>
    <col min="7368" max="7368" width="16" style="6" bestFit="1" customWidth="1"/>
    <col min="7369" max="7369" width="17" style="6" bestFit="1" customWidth="1"/>
    <col min="7370" max="7370" width="2.33203125" style="6" customWidth="1"/>
    <col min="7371" max="7371" width="17" style="6" customWidth="1"/>
    <col min="7372" max="7372" width="17" style="6" bestFit="1" customWidth="1"/>
    <col min="7373" max="7373" width="17.33203125" style="6" bestFit="1" customWidth="1"/>
    <col min="7374" max="7374" width="16" style="6" bestFit="1" customWidth="1"/>
    <col min="7375" max="7375" width="17" style="6" bestFit="1" customWidth="1"/>
    <col min="7376" max="7376" width="3" style="6" customWidth="1"/>
    <col min="7377" max="7377" width="16" style="6" bestFit="1" customWidth="1"/>
    <col min="7378" max="7378" width="17" style="6" bestFit="1" customWidth="1"/>
    <col min="7379" max="7379" width="17.33203125" style="6" bestFit="1" customWidth="1"/>
    <col min="7380" max="7380" width="16" style="6" bestFit="1" customWidth="1"/>
    <col min="7381" max="7381" width="17" style="6" bestFit="1" customWidth="1"/>
    <col min="7382" max="7382" width="3" style="6" customWidth="1"/>
    <col min="7383" max="7384" width="17.88671875" style="6" bestFit="1" customWidth="1"/>
    <col min="7385" max="7385" width="17.33203125" style="6" bestFit="1" customWidth="1"/>
    <col min="7386" max="7386" width="17.88671875" style="6" bestFit="1" customWidth="1"/>
    <col min="7387" max="7387" width="17" style="6" bestFit="1" customWidth="1"/>
    <col min="7388" max="7388" width="17.6640625" style="6" bestFit="1" customWidth="1"/>
    <col min="7389" max="7389" width="2" style="6" customWidth="1"/>
    <col min="7390" max="7390" width="19.88671875" style="6" bestFit="1" customWidth="1"/>
    <col min="7391" max="7391" width="18.88671875" style="6" bestFit="1" customWidth="1"/>
    <col min="7392" max="7392" width="19.5546875" style="6" bestFit="1" customWidth="1"/>
    <col min="7393" max="7564" width="11.44140625" style="6"/>
    <col min="7565" max="7565" width="18.6640625" style="6" customWidth="1"/>
    <col min="7566" max="7566" width="38.5546875" style="6" customWidth="1"/>
    <col min="7567" max="7567" width="21.5546875" style="6" bestFit="1" customWidth="1"/>
    <col min="7568" max="7568" width="20.44140625" style="6" bestFit="1" customWidth="1"/>
    <col min="7569" max="7569" width="17.33203125" style="6" bestFit="1" customWidth="1"/>
    <col min="7570" max="7570" width="18.33203125" style="6" bestFit="1" customWidth="1"/>
    <col min="7571" max="7571" width="17.44140625" style="6" bestFit="1" customWidth="1"/>
    <col min="7572" max="7572" width="1.44140625" style="6" customWidth="1"/>
    <col min="7573" max="7573" width="17.33203125" style="6" customWidth="1"/>
    <col min="7574" max="7574" width="17.88671875" style="6" bestFit="1" customWidth="1"/>
    <col min="7575" max="7575" width="17.33203125" style="6" customWidth="1"/>
    <col min="7576" max="7576" width="17.88671875" style="6" bestFit="1" customWidth="1"/>
    <col min="7577" max="7577" width="17" style="6" bestFit="1" customWidth="1"/>
    <col min="7578" max="7578" width="1.6640625" style="6" customWidth="1"/>
    <col min="7579" max="7579" width="17.33203125" style="6" bestFit="1" customWidth="1"/>
    <col min="7580" max="7580" width="17.88671875" style="6" bestFit="1" customWidth="1"/>
    <col min="7581" max="7581" width="17.33203125" style="6" bestFit="1" customWidth="1"/>
    <col min="7582" max="7582" width="17.88671875" style="6" bestFit="1" customWidth="1"/>
    <col min="7583" max="7583" width="17" style="6" bestFit="1" customWidth="1"/>
    <col min="7584" max="7584" width="2" style="6" customWidth="1"/>
    <col min="7585" max="7586" width="17" style="6" bestFit="1" customWidth="1"/>
    <col min="7587" max="7587" width="17.33203125" style="6" bestFit="1" customWidth="1"/>
    <col min="7588" max="7588" width="16" style="6" customWidth="1"/>
    <col min="7589" max="7589" width="17" style="6" bestFit="1" customWidth="1"/>
    <col min="7590" max="7590" width="2" style="6" customWidth="1"/>
    <col min="7591" max="7592" width="17" style="6" bestFit="1" customWidth="1"/>
    <col min="7593" max="7593" width="17.33203125" style="6" bestFit="1" customWidth="1"/>
    <col min="7594" max="7594" width="16" style="6" customWidth="1"/>
    <col min="7595" max="7595" width="17" style="6" bestFit="1" customWidth="1"/>
    <col min="7596" max="7596" width="2" style="6" customWidth="1"/>
    <col min="7597" max="7597" width="17" style="6" bestFit="1" customWidth="1"/>
    <col min="7598" max="7598" width="25.5546875" style="6" customWidth="1"/>
    <col min="7599" max="7599" width="19.109375" style="6" customWidth="1"/>
    <col min="7600" max="7600" width="16" style="6" customWidth="1"/>
    <col min="7601" max="7601" width="17" style="6" bestFit="1" customWidth="1"/>
    <col min="7602" max="7602" width="2" style="6" customWidth="1"/>
    <col min="7603" max="7603" width="16" style="6" bestFit="1" customWidth="1"/>
    <col min="7604" max="7604" width="16.33203125" style="6" bestFit="1" customWidth="1"/>
    <col min="7605" max="7605" width="15.6640625" style="6" bestFit="1" customWidth="1"/>
    <col min="7606" max="7606" width="16.33203125" style="6" bestFit="1" customWidth="1"/>
    <col min="7607" max="7607" width="15" style="6" bestFit="1" customWidth="1"/>
    <col min="7608" max="7608" width="2" style="6" customWidth="1"/>
    <col min="7609" max="7609" width="17" style="6" bestFit="1" customWidth="1"/>
    <col min="7610" max="7610" width="16.6640625" style="6" bestFit="1" customWidth="1"/>
    <col min="7611" max="7611" width="17.33203125" style="6" bestFit="1" customWidth="1"/>
    <col min="7612" max="7612" width="16" style="6" bestFit="1" customWidth="1"/>
    <col min="7613" max="7613" width="17" style="6" customWidth="1"/>
    <col min="7614" max="7614" width="2" style="6" customWidth="1"/>
    <col min="7615" max="7615" width="16.33203125" style="6" bestFit="1" customWidth="1"/>
    <col min="7616" max="7616" width="18.88671875" style="6" bestFit="1" customWidth="1"/>
    <col min="7617" max="7617" width="16" style="6" bestFit="1" customWidth="1"/>
    <col min="7618" max="7618" width="16.33203125" style="6" bestFit="1" customWidth="1"/>
    <col min="7619" max="7619" width="15" style="6" bestFit="1" customWidth="1"/>
    <col min="7620" max="7620" width="2" style="6" customWidth="1"/>
    <col min="7621" max="7622" width="17" style="6" bestFit="1" customWidth="1"/>
    <col min="7623" max="7623" width="17.33203125" style="6" bestFit="1" customWidth="1"/>
    <col min="7624" max="7624" width="16" style="6" bestFit="1" customWidth="1"/>
    <col min="7625" max="7625" width="17" style="6" bestFit="1" customWidth="1"/>
    <col min="7626" max="7626" width="2.33203125" style="6" customWidth="1"/>
    <col min="7627" max="7627" width="17" style="6" customWidth="1"/>
    <col min="7628" max="7628" width="17" style="6" bestFit="1" customWidth="1"/>
    <col min="7629" max="7629" width="17.33203125" style="6" bestFit="1" customWidth="1"/>
    <col min="7630" max="7630" width="16" style="6" bestFit="1" customWidth="1"/>
    <col min="7631" max="7631" width="17" style="6" bestFit="1" customWidth="1"/>
    <col min="7632" max="7632" width="3" style="6" customWidth="1"/>
    <col min="7633" max="7633" width="16" style="6" bestFit="1" customWidth="1"/>
    <col min="7634" max="7634" width="17" style="6" bestFit="1" customWidth="1"/>
    <col min="7635" max="7635" width="17.33203125" style="6" bestFit="1" customWidth="1"/>
    <col min="7636" max="7636" width="16" style="6" bestFit="1" customWidth="1"/>
    <col min="7637" max="7637" width="17" style="6" bestFit="1" customWidth="1"/>
    <col min="7638" max="7638" width="3" style="6" customWidth="1"/>
    <col min="7639" max="7640" width="17.88671875" style="6" bestFit="1" customWidth="1"/>
    <col min="7641" max="7641" width="17.33203125" style="6" bestFit="1" customWidth="1"/>
    <col min="7642" max="7642" width="17.88671875" style="6" bestFit="1" customWidth="1"/>
    <col min="7643" max="7643" width="17" style="6" bestFit="1" customWidth="1"/>
    <col min="7644" max="7644" width="17.6640625" style="6" bestFit="1" customWidth="1"/>
    <col min="7645" max="7645" width="2" style="6" customWidth="1"/>
    <col min="7646" max="7646" width="19.88671875" style="6" bestFit="1" customWidth="1"/>
    <col min="7647" max="7647" width="18.88671875" style="6" bestFit="1" customWidth="1"/>
    <col min="7648" max="7648" width="19.5546875" style="6" bestFit="1" customWidth="1"/>
    <col min="7649" max="7820" width="11.44140625" style="6"/>
    <col min="7821" max="7821" width="18.6640625" style="6" customWidth="1"/>
    <col min="7822" max="7822" width="38.5546875" style="6" customWidth="1"/>
    <col min="7823" max="7823" width="21.5546875" style="6" bestFit="1" customWidth="1"/>
    <col min="7824" max="7824" width="20.44140625" style="6" bestFit="1" customWidth="1"/>
    <col min="7825" max="7825" width="17.33203125" style="6" bestFit="1" customWidth="1"/>
    <col min="7826" max="7826" width="18.33203125" style="6" bestFit="1" customWidth="1"/>
    <col min="7827" max="7827" width="17.44140625" style="6" bestFit="1" customWidth="1"/>
    <col min="7828" max="7828" width="1.44140625" style="6" customWidth="1"/>
    <col min="7829" max="7829" width="17.33203125" style="6" customWidth="1"/>
    <col min="7830" max="7830" width="17.88671875" style="6" bestFit="1" customWidth="1"/>
    <col min="7831" max="7831" width="17.33203125" style="6" customWidth="1"/>
    <col min="7832" max="7832" width="17.88671875" style="6" bestFit="1" customWidth="1"/>
    <col min="7833" max="7833" width="17" style="6" bestFit="1" customWidth="1"/>
    <col min="7834" max="7834" width="1.6640625" style="6" customWidth="1"/>
    <col min="7835" max="7835" width="17.33203125" style="6" bestFit="1" customWidth="1"/>
    <col min="7836" max="7836" width="17.88671875" style="6" bestFit="1" customWidth="1"/>
    <col min="7837" max="7837" width="17.33203125" style="6" bestFit="1" customWidth="1"/>
    <col min="7838" max="7838" width="17.88671875" style="6" bestFit="1" customWidth="1"/>
    <col min="7839" max="7839" width="17" style="6" bestFit="1" customWidth="1"/>
    <col min="7840" max="7840" width="2" style="6" customWidth="1"/>
    <col min="7841" max="7842" width="17" style="6" bestFit="1" customWidth="1"/>
    <col min="7843" max="7843" width="17.33203125" style="6" bestFit="1" customWidth="1"/>
    <col min="7844" max="7844" width="16" style="6" customWidth="1"/>
    <col min="7845" max="7845" width="17" style="6" bestFit="1" customWidth="1"/>
    <col min="7846" max="7846" width="2" style="6" customWidth="1"/>
    <col min="7847" max="7848" width="17" style="6" bestFit="1" customWidth="1"/>
    <col min="7849" max="7849" width="17.33203125" style="6" bestFit="1" customWidth="1"/>
    <col min="7850" max="7850" width="16" style="6" customWidth="1"/>
    <col min="7851" max="7851" width="17" style="6" bestFit="1" customWidth="1"/>
    <col min="7852" max="7852" width="2" style="6" customWidth="1"/>
    <col min="7853" max="7853" width="17" style="6" bestFit="1" customWidth="1"/>
    <col min="7854" max="7854" width="25.5546875" style="6" customWidth="1"/>
    <col min="7855" max="7855" width="19.109375" style="6" customWidth="1"/>
    <col min="7856" max="7856" width="16" style="6" customWidth="1"/>
    <col min="7857" max="7857" width="17" style="6" bestFit="1" customWidth="1"/>
    <col min="7858" max="7858" width="2" style="6" customWidth="1"/>
    <col min="7859" max="7859" width="16" style="6" bestFit="1" customWidth="1"/>
    <col min="7860" max="7860" width="16.33203125" style="6" bestFit="1" customWidth="1"/>
    <col min="7861" max="7861" width="15.6640625" style="6" bestFit="1" customWidth="1"/>
    <col min="7862" max="7862" width="16.33203125" style="6" bestFit="1" customWidth="1"/>
    <col min="7863" max="7863" width="15" style="6" bestFit="1" customWidth="1"/>
    <col min="7864" max="7864" width="2" style="6" customWidth="1"/>
    <col min="7865" max="7865" width="17" style="6" bestFit="1" customWidth="1"/>
    <col min="7866" max="7866" width="16.6640625" style="6" bestFit="1" customWidth="1"/>
    <col min="7867" max="7867" width="17.33203125" style="6" bestFit="1" customWidth="1"/>
    <col min="7868" max="7868" width="16" style="6" bestFit="1" customWidth="1"/>
    <col min="7869" max="7869" width="17" style="6" customWidth="1"/>
    <col min="7870" max="7870" width="2" style="6" customWidth="1"/>
    <col min="7871" max="7871" width="16.33203125" style="6" bestFit="1" customWidth="1"/>
    <col min="7872" max="7872" width="18.88671875" style="6" bestFit="1" customWidth="1"/>
    <col min="7873" max="7873" width="16" style="6" bestFit="1" customWidth="1"/>
    <col min="7874" max="7874" width="16.33203125" style="6" bestFit="1" customWidth="1"/>
    <col min="7875" max="7875" width="15" style="6" bestFit="1" customWidth="1"/>
    <col min="7876" max="7876" width="2" style="6" customWidth="1"/>
    <col min="7877" max="7878" width="17" style="6" bestFit="1" customWidth="1"/>
    <col min="7879" max="7879" width="17.33203125" style="6" bestFit="1" customWidth="1"/>
    <col min="7880" max="7880" width="16" style="6" bestFit="1" customWidth="1"/>
    <col min="7881" max="7881" width="17" style="6" bestFit="1" customWidth="1"/>
    <col min="7882" max="7882" width="2.33203125" style="6" customWidth="1"/>
    <col min="7883" max="7883" width="17" style="6" customWidth="1"/>
    <col min="7884" max="7884" width="17" style="6" bestFit="1" customWidth="1"/>
    <col min="7885" max="7885" width="17.33203125" style="6" bestFit="1" customWidth="1"/>
    <col min="7886" max="7886" width="16" style="6" bestFit="1" customWidth="1"/>
    <col min="7887" max="7887" width="17" style="6" bestFit="1" customWidth="1"/>
    <col min="7888" max="7888" width="3" style="6" customWidth="1"/>
    <col min="7889" max="7889" width="16" style="6" bestFit="1" customWidth="1"/>
    <col min="7890" max="7890" width="17" style="6" bestFit="1" customWidth="1"/>
    <col min="7891" max="7891" width="17.33203125" style="6" bestFit="1" customWidth="1"/>
    <col min="7892" max="7892" width="16" style="6" bestFit="1" customWidth="1"/>
    <col min="7893" max="7893" width="17" style="6" bestFit="1" customWidth="1"/>
    <col min="7894" max="7894" width="3" style="6" customWidth="1"/>
    <col min="7895" max="7896" width="17.88671875" style="6" bestFit="1" customWidth="1"/>
    <col min="7897" max="7897" width="17.33203125" style="6" bestFit="1" customWidth="1"/>
    <col min="7898" max="7898" width="17.88671875" style="6" bestFit="1" customWidth="1"/>
    <col min="7899" max="7899" width="17" style="6" bestFit="1" customWidth="1"/>
    <col min="7900" max="7900" width="17.6640625" style="6" bestFit="1" customWidth="1"/>
    <col min="7901" max="7901" width="2" style="6" customWidth="1"/>
    <col min="7902" max="7902" width="19.88671875" style="6" bestFit="1" customWidth="1"/>
    <col min="7903" max="7903" width="18.88671875" style="6" bestFit="1" customWidth="1"/>
    <col min="7904" max="7904" width="19.5546875" style="6" bestFit="1" customWidth="1"/>
    <col min="7905" max="8076" width="11.44140625" style="6"/>
    <col min="8077" max="8077" width="18.6640625" style="6" customWidth="1"/>
    <col min="8078" max="8078" width="38.5546875" style="6" customWidth="1"/>
    <col min="8079" max="8079" width="21.5546875" style="6" bestFit="1" customWidth="1"/>
    <col min="8080" max="8080" width="20.44140625" style="6" bestFit="1" customWidth="1"/>
    <col min="8081" max="8081" width="17.33203125" style="6" bestFit="1" customWidth="1"/>
    <col min="8082" max="8082" width="18.33203125" style="6" bestFit="1" customWidth="1"/>
    <col min="8083" max="8083" width="17.44140625" style="6" bestFit="1" customWidth="1"/>
    <col min="8084" max="8084" width="1.44140625" style="6" customWidth="1"/>
    <col min="8085" max="8085" width="17.33203125" style="6" customWidth="1"/>
    <col min="8086" max="8086" width="17.88671875" style="6" bestFit="1" customWidth="1"/>
    <col min="8087" max="8087" width="17.33203125" style="6" customWidth="1"/>
    <col min="8088" max="8088" width="17.88671875" style="6" bestFit="1" customWidth="1"/>
    <col min="8089" max="8089" width="17" style="6" bestFit="1" customWidth="1"/>
    <col min="8090" max="8090" width="1.6640625" style="6" customWidth="1"/>
    <col min="8091" max="8091" width="17.33203125" style="6" bestFit="1" customWidth="1"/>
    <col min="8092" max="8092" width="17.88671875" style="6" bestFit="1" customWidth="1"/>
    <col min="8093" max="8093" width="17.33203125" style="6" bestFit="1" customWidth="1"/>
    <col min="8094" max="8094" width="17.88671875" style="6" bestFit="1" customWidth="1"/>
    <col min="8095" max="8095" width="17" style="6" bestFit="1" customWidth="1"/>
    <col min="8096" max="8096" width="2" style="6" customWidth="1"/>
    <col min="8097" max="8098" width="17" style="6" bestFit="1" customWidth="1"/>
    <col min="8099" max="8099" width="17.33203125" style="6" bestFit="1" customWidth="1"/>
    <col min="8100" max="8100" width="16" style="6" customWidth="1"/>
    <col min="8101" max="8101" width="17" style="6" bestFit="1" customWidth="1"/>
    <col min="8102" max="8102" width="2" style="6" customWidth="1"/>
    <col min="8103" max="8104" width="17" style="6" bestFit="1" customWidth="1"/>
    <col min="8105" max="8105" width="17.33203125" style="6" bestFit="1" customWidth="1"/>
    <col min="8106" max="8106" width="16" style="6" customWidth="1"/>
    <col min="8107" max="8107" width="17" style="6" bestFit="1" customWidth="1"/>
    <col min="8108" max="8108" width="2" style="6" customWidth="1"/>
    <col min="8109" max="8109" width="17" style="6" bestFit="1" customWidth="1"/>
    <col min="8110" max="8110" width="25.5546875" style="6" customWidth="1"/>
    <col min="8111" max="8111" width="19.109375" style="6" customWidth="1"/>
    <col min="8112" max="8112" width="16" style="6" customWidth="1"/>
    <col min="8113" max="8113" width="17" style="6" bestFit="1" customWidth="1"/>
    <col min="8114" max="8114" width="2" style="6" customWidth="1"/>
    <col min="8115" max="8115" width="16" style="6" bestFit="1" customWidth="1"/>
    <col min="8116" max="8116" width="16.33203125" style="6" bestFit="1" customWidth="1"/>
    <col min="8117" max="8117" width="15.6640625" style="6" bestFit="1" customWidth="1"/>
    <col min="8118" max="8118" width="16.33203125" style="6" bestFit="1" customWidth="1"/>
    <col min="8119" max="8119" width="15" style="6" bestFit="1" customWidth="1"/>
    <col min="8120" max="8120" width="2" style="6" customWidth="1"/>
    <col min="8121" max="8121" width="17" style="6" bestFit="1" customWidth="1"/>
    <col min="8122" max="8122" width="16.6640625" style="6" bestFit="1" customWidth="1"/>
    <col min="8123" max="8123" width="17.33203125" style="6" bestFit="1" customWidth="1"/>
    <col min="8124" max="8124" width="16" style="6" bestFit="1" customWidth="1"/>
    <col min="8125" max="8125" width="17" style="6" customWidth="1"/>
    <col min="8126" max="8126" width="2" style="6" customWidth="1"/>
    <col min="8127" max="8127" width="16.33203125" style="6" bestFit="1" customWidth="1"/>
    <col min="8128" max="8128" width="18.88671875" style="6" bestFit="1" customWidth="1"/>
    <col min="8129" max="8129" width="16" style="6" bestFit="1" customWidth="1"/>
    <col min="8130" max="8130" width="16.33203125" style="6" bestFit="1" customWidth="1"/>
    <col min="8131" max="8131" width="15" style="6" bestFit="1" customWidth="1"/>
    <col min="8132" max="8132" width="2" style="6" customWidth="1"/>
    <col min="8133" max="8134" width="17" style="6" bestFit="1" customWidth="1"/>
    <col min="8135" max="8135" width="17.33203125" style="6" bestFit="1" customWidth="1"/>
    <col min="8136" max="8136" width="16" style="6" bestFit="1" customWidth="1"/>
    <col min="8137" max="8137" width="17" style="6" bestFit="1" customWidth="1"/>
    <col min="8138" max="8138" width="2.33203125" style="6" customWidth="1"/>
    <col min="8139" max="8139" width="17" style="6" customWidth="1"/>
    <col min="8140" max="8140" width="17" style="6" bestFit="1" customWidth="1"/>
    <col min="8141" max="8141" width="17.33203125" style="6" bestFit="1" customWidth="1"/>
    <col min="8142" max="8142" width="16" style="6" bestFit="1" customWidth="1"/>
    <col min="8143" max="8143" width="17" style="6" bestFit="1" customWidth="1"/>
    <col min="8144" max="8144" width="3" style="6" customWidth="1"/>
    <col min="8145" max="8145" width="16" style="6" bestFit="1" customWidth="1"/>
    <col min="8146" max="8146" width="17" style="6" bestFit="1" customWidth="1"/>
    <col min="8147" max="8147" width="17.33203125" style="6" bestFit="1" customWidth="1"/>
    <col min="8148" max="8148" width="16" style="6" bestFit="1" customWidth="1"/>
    <col min="8149" max="8149" width="17" style="6" bestFit="1" customWidth="1"/>
    <col min="8150" max="8150" width="3" style="6" customWidth="1"/>
    <col min="8151" max="8152" width="17.88671875" style="6" bestFit="1" customWidth="1"/>
    <col min="8153" max="8153" width="17.33203125" style="6" bestFit="1" customWidth="1"/>
    <col min="8154" max="8154" width="17.88671875" style="6" bestFit="1" customWidth="1"/>
    <col min="8155" max="8155" width="17" style="6" bestFit="1" customWidth="1"/>
    <col min="8156" max="8156" width="17.6640625" style="6" bestFit="1" customWidth="1"/>
    <col min="8157" max="8157" width="2" style="6" customWidth="1"/>
    <col min="8158" max="8158" width="19.88671875" style="6" bestFit="1" customWidth="1"/>
    <col min="8159" max="8159" width="18.88671875" style="6" bestFit="1" customWidth="1"/>
    <col min="8160" max="8160" width="19.5546875" style="6" bestFit="1" customWidth="1"/>
    <col min="8161" max="8332" width="11.44140625" style="6"/>
    <col min="8333" max="8333" width="18.6640625" style="6" customWidth="1"/>
    <col min="8334" max="8334" width="38.5546875" style="6" customWidth="1"/>
    <col min="8335" max="8335" width="21.5546875" style="6" bestFit="1" customWidth="1"/>
    <col min="8336" max="8336" width="20.44140625" style="6" bestFit="1" customWidth="1"/>
    <col min="8337" max="8337" width="17.33203125" style="6" bestFit="1" customWidth="1"/>
    <col min="8338" max="8338" width="18.33203125" style="6" bestFit="1" customWidth="1"/>
    <col min="8339" max="8339" width="17.44140625" style="6" bestFit="1" customWidth="1"/>
    <col min="8340" max="8340" width="1.44140625" style="6" customWidth="1"/>
    <col min="8341" max="8341" width="17.33203125" style="6" customWidth="1"/>
    <col min="8342" max="8342" width="17.88671875" style="6" bestFit="1" customWidth="1"/>
    <col min="8343" max="8343" width="17.33203125" style="6" customWidth="1"/>
    <col min="8344" max="8344" width="17.88671875" style="6" bestFit="1" customWidth="1"/>
    <col min="8345" max="8345" width="17" style="6" bestFit="1" customWidth="1"/>
    <col min="8346" max="8346" width="1.6640625" style="6" customWidth="1"/>
    <col min="8347" max="8347" width="17.33203125" style="6" bestFit="1" customWidth="1"/>
    <col min="8348" max="8348" width="17.88671875" style="6" bestFit="1" customWidth="1"/>
    <col min="8349" max="8349" width="17.33203125" style="6" bestFit="1" customWidth="1"/>
    <col min="8350" max="8350" width="17.88671875" style="6" bestFit="1" customWidth="1"/>
    <col min="8351" max="8351" width="17" style="6" bestFit="1" customWidth="1"/>
    <col min="8352" max="8352" width="2" style="6" customWidth="1"/>
    <col min="8353" max="8354" width="17" style="6" bestFit="1" customWidth="1"/>
    <col min="8355" max="8355" width="17.33203125" style="6" bestFit="1" customWidth="1"/>
    <col min="8356" max="8356" width="16" style="6" customWidth="1"/>
    <col min="8357" max="8357" width="17" style="6" bestFit="1" customWidth="1"/>
    <col min="8358" max="8358" width="2" style="6" customWidth="1"/>
    <col min="8359" max="8360" width="17" style="6" bestFit="1" customWidth="1"/>
    <col min="8361" max="8361" width="17.33203125" style="6" bestFit="1" customWidth="1"/>
    <col min="8362" max="8362" width="16" style="6" customWidth="1"/>
    <col min="8363" max="8363" width="17" style="6" bestFit="1" customWidth="1"/>
    <col min="8364" max="8364" width="2" style="6" customWidth="1"/>
    <col min="8365" max="8365" width="17" style="6" bestFit="1" customWidth="1"/>
    <col min="8366" max="8366" width="25.5546875" style="6" customWidth="1"/>
    <col min="8367" max="8367" width="19.109375" style="6" customWidth="1"/>
    <col min="8368" max="8368" width="16" style="6" customWidth="1"/>
    <col min="8369" max="8369" width="17" style="6" bestFit="1" customWidth="1"/>
    <col min="8370" max="8370" width="2" style="6" customWidth="1"/>
    <col min="8371" max="8371" width="16" style="6" bestFit="1" customWidth="1"/>
    <col min="8372" max="8372" width="16.33203125" style="6" bestFit="1" customWidth="1"/>
    <col min="8373" max="8373" width="15.6640625" style="6" bestFit="1" customWidth="1"/>
    <col min="8374" max="8374" width="16.33203125" style="6" bestFit="1" customWidth="1"/>
    <col min="8375" max="8375" width="15" style="6" bestFit="1" customWidth="1"/>
    <col min="8376" max="8376" width="2" style="6" customWidth="1"/>
    <col min="8377" max="8377" width="17" style="6" bestFit="1" customWidth="1"/>
    <col min="8378" max="8378" width="16.6640625" style="6" bestFit="1" customWidth="1"/>
    <col min="8379" max="8379" width="17.33203125" style="6" bestFit="1" customWidth="1"/>
    <col min="8380" max="8380" width="16" style="6" bestFit="1" customWidth="1"/>
    <col min="8381" max="8381" width="17" style="6" customWidth="1"/>
    <col min="8382" max="8382" width="2" style="6" customWidth="1"/>
    <col min="8383" max="8383" width="16.33203125" style="6" bestFit="1" customWidth="1"/>
    <col min="8384" max="8384" width="18.88671875" style="6" bestFit="1" customWidth="1"/>
    <col min="8385" max="8385" width="16" style="6" bestFit="1" customWidth="1"/>
    <col min="8386" max="8386" width="16.33203125" style="6" bestFit="1" customWidth="1"/>
    <col min="8387" max="8387" width="15" style="6" bestFit="1" customWidth="1"/>
    <col min="8388" max="8388" width="2" style="6" customWidth="1"/>
    <col min="8389" max="8390" width="17" style="6" bestFit="1" customWidth="1"/>
    <col min="8391" max="8391" width="17.33203125" style="6" bestFit="1" customWidth="1"/>
    <col min="8392" max="8392" width="16" style="6" bestFit="1" customWidth="1"/>
    <col min="8393" max="8393" width="17" style="6" bestFit="1" customWidth="1"/>
    <col min="8394" max="8394" width="2.33203125" style="6" customWidth="1"/>
    <col min="8395" max="8395" width="17" style="6" customWidth="1"/>
    <col min="8396" max="8396" width="17" style="6" bestFit="1" customWidth="1"/>
    <col min="8397" max="8397" width="17.33203125" style="6" bestFit="1" customWidth="1"/>
    <col min="8398" max="8398" width="16" style="6" bestFit="1" customWidth="1"/>
    <col min="8399" max="8399" width="17" style="6" bestFit="1" customWidth="1"/>
    <col min="8400" max="8400" width="3" style="6" customWidth="1"/>
    <col min="8401" max="8401" width="16" style="6" bestFit="1" customWidth="1"/>
    <col min="8402" max="8402" width="17" style="6" bestFit="1" customWidth="1"/>
    <col min="8403" max="8403" width="17.33203125" style="6" bestFit="1" customWidth="1"/>
    <col min="8404" max="8404" width="16" style="6" bestFit="1" customWidth="1"/>
    <col min="8405" max="8405" width="17" style="6" bestFit="1" customWidth="1"/>
    <col min="8406" max="8406" width="3" style="6" customWidth="1"/>
    <col min="8407" max="8408" width="17.88671875" style="6" bestFit="1" customWidth="1"/>
    <col min="8409" max="8409" width="17.33203125" style="6" bestFit="1" customWidth="1"/>
    <col min="8410" max="8410" width="17.88671875" style="6" bestFit="1" customWidth="1"/>
    <col min="8411" max="8411" width="17" style="6" bestFit="1" customWidth="1"/>
    <col min="8412" max="8412" width="17.6640625" style="6" bestFit="1" customWidth="1"/>
    <col min="8413" max="8413" width="2" style="6" customWidth="1"/>
    <col min="8414" max="8414" width="19.88671875" style="6" bestFit="1" customWidth="1"/>
    <col min="8415" max="8415" width="18.88671875" style="6" bestFit="1" customWidth="1"/>
    <col min="8416" max="8416" width="19.5546875" style="6" bestFit="1" customWidth="1"/>
    <col min="8417" max="8588" width="11.44140625" style="6"/>
    <col min="8589" max="8589" width="18.6640625" style="6" customWidth="1"/>
    <col min="8590" max="8590" width="38.5546875" style="6" customWidth="1"/>
    <col min="8591" max="8591" width="21.5546875" style="6" bestFit="1" customWidth="1"/>
    <col min="8592" max="8592" width="20.44140625" style="6" bestFit="1" customWidth="1"/>
    <col min="8593" max="8593" width="17.33203125" style="6" bestFit="1" customWidth="1"/>
    <col min="8594" max="8594" width="18.33203125" style="6" bestFit="1" customWidth="1"/>
    <col min="8595" max="8595" width="17.44140625" style="6" bestFit="1" customWidth="1"/>
    <col min="8596" max="8596" width="1.44140625" style="6" customWidth="1"/>
    <col min="8597" max="8597" width="17.33203125" style="6" customWidth="1"/>
    <col min="8598" max="8598" width="17.88671875" style="6" bestFit="1" customWidth="1"/>
    <col min="8599" max="8599" width="17.33203125" style="6" customWidth="1"/>
    <col min="8600" max="8600" width="17.88671875" style="6" bestFit="1" customWidth="1"/>
    <col min="8601" max="8601" width="17" style="6" bestFit="1" customWidth="1"/>
    <col min="8602" max="8602" width="1.6640625" style="6" customWidth="1"/>
    <col min="8603" max="8603" width="17.33203125" style="6" bestFit="1" customWidth="1"/>
    <col min="8604" max="8604" width="17.88671875" style="6" bestFit="1" customWidth="1"/>
    <col min="8605" max="8605" width="17.33203125" style="6" bestFit="1" customWidth="1"/>
    <col min="8606" max="8606" width="17.88671875" style="6" bestFit="1" customWidth="1"/>
    <col min="8607" max="8607" width="17" style="6" bestFit="1" customWidth="1"/>
    <col min="8608" max="8608" width="2" style="6" customWidth="1"/>
    <col min="8609" max="8610" width="17" style="6" bestFit="1" customWidth="1"/>
    <col min="8611" max="8611" width="17.33203125" style="6" bestFit="1" customWidth="1"/>
    <col min="8612" max="8612" width="16" style="6" customWidth="1"/>
    <col min="8613" max="8613" width="17" style="6" bestFit="1" customWidth="1"/>
    <col min="8614" max="8614" width="2" style="6" customWidth="1"/>
    <col min="8615" max="8616" width="17" style="6" bestFit="1" customWidth="1"/>
    <col min="8617" max="8617" width="17.33203125" style="6" bestFit="1" customWidth="1"/>
    <col min="8618" max="8618" width="16" style="6" customWidth="1"/>
    <col min="8619" max="8619" width="17" style="6" bestFit="1" customWidth="1"/>
    <col min="8620" max="8620" width="2" style="6" customWidth="1"/>
    <col min="8621" max="8621" width="17" style="6" bestFit="1" customWidth="1"/>
    <col min="8622" max="8622" width="25.5546875" style="6" customWidth="1"/>
    <col min="8623" max="8623" width="19.109375" style="6" customWidth="1"/>
    <col min="8624" max="8624" width="16" style="6" customWidth="1"/>
    <col min="8625" max="8625" width="17" style="6" bestFit="1" customWidth="1"/>
    <col min="8626" max="8626" width="2" style="6" customWidth="1"/>
    <col min="8627" max="8627" width="16" style="6" bestFit="1" customWidth="1"/>
    <col min="8628" max="8628" width="16.33203125" style="6" bestFit="1" customWidth="1"/>
    <col min="8629" max="8629" width="15.6640625" style="6" bestFit="1" customWidth="1"/>
    <col min="8630" max="8630" width="16.33203125" style="6" bestFit="1" customWidth="1"/>
    <col min="8631" max="8631" width="15" style="6" bestFit="1" customWidth="1"/>
    <col min="8632" max="8632" width="2" style="6" customWidth="1"/>
    <col min="8633" max="8633" width="17" style="6" bestFit="1" customWidth="1"/>
    <col min="8634" max="8634" width="16.6640625" style="6" bestFit="1" customWidth="1"/>
    <col min="8635" max="8635" width="17.33203125" style="6" bestFit="1" customWidth="1"/>
    <col min="8636" max="8636" width="16" style="6" bestFit="1" customWidth="1"/>
    <col min="8637" max="8637" width="17" style="6" customWidth="1"/>
    <col min="8638" max="8638" width="2" style="6" customWidth="1"/>
    <col min="8639" max="8639" width="16.33203125" style="6" bestFit="1" customWidth="1"/>
    <col min="8640" max="8640" width="18.88671875" style="6" bestFit="1" customWidth="1"/>
    <col min="8641" max="8641" width="16" style="6" bestFit="1" customWidth="1"/>
    <col min="8642" max="8642" width="16.33203125" style="6" bestFit="1" customWidth="1"/>
    <col min="8643" max="8643" width="15" style="6" bestFit="1" customWidth="1"/>
    <col min="8644" max="8644" width="2" style="6" customWidth="1"/>
    <col min="8645" max="8646" width="17" style="6" bestFit="1" customWidth="1"/>
    <col min="8647" max="8647" width="17.33203125" style="6" bestFit="1" customWidth="1"/>
    <col min="8648" max="8648" width="16" style="6" bestFit="1" customWidth="1"/>
    <col min="8649" max="8649" width="17" style="6" bestFit="1" customWidth="1"/>
    <col min="8650" max="8650" width="2.33203125" style="6" customWidth="1"/>
    <col min="8651" max="8651" width="17" style="6" customWidth="1"/>
    <col min="8652" max="8652" width="17" style="6" bestFit="1" customWidth="1"/>
    <col min="8653" max="8653" width="17.33203125" style="6" bestFit="1" customWidth="1"/>
    <col min="8654" max="8654" width="16" style="6" bestFit="1" customWidth="1"/>
    <col min="8655" max="8655" width="17" style="6" bestFit="1" customWidth="1"/>
    <col min="8656" max="8656" width="3" style="6" customWidth="1"/>
    <col min="8657" max="8657" width="16" style="6" bestFit="1" customWidth="1"/>
    <col min="8658" max="8658" width="17" style="6" bestFit="1" customWidth="1"/>
    <col min="8659" max="8659" width="17.33203125" style="6" bestFit="1" customWidth="1"/>
    <col min="8660" max="8660" width="16" style="6" bestFit="1" customWidth="1"/>
    <col min="8661" max="8661" width="17" style="6" bestFit="1" customWidth="1"/>
    <col min="8662" max="8662" width="3" style="6" customWidth="1"/>
    <col min="8663" max="8664" width="17.88671875" style="6" bestFit="1" customWidth="1"/>
    <col min="8665" max="8665" width="17.33203125" style="6" bestFit="1" customWidth="1"/>
    <col min="8666" max="8666" width="17.88671875" style="6" bestFit="1" customWidth="1"/>
    <col min="8667" max="8667" width="17" style="6" bestFit="1" customWidth="1"/>
    <col min="8668" max="8668" width="17.6640625" style="6" bestFit="1" customWidth="1"/>
    <col min="8669" max="8669" width="2" style="6" customWidth="1"/>
    <col min="8670" max="8670" width="19.88671875" style="6" bestFit="1" customWidth="1"/>
    <col min="8671" max="8671" width="18.88671875" style="6" bestFit="1" customWidth="1"/>
    <col min="8672" max="8672" width="19.5546875" style="6" bestFit="1" customWidth="1"/>
    <col min="8673" max="8844" width="11.44140625" style="6"/>
    <col min="8845" max="8845" width="18.6640625" style="6" customWidth="1"/>
    <col min="8846" max="8846" width="38.5546875" style="6" customWidth="1"/>
    <col min="8847" max="8847" width="21.5546875" style="6" bestFit="1" customWidth="1"/>
    <col min="8848" max="8848" width="20.44140625" style="6" bestFit="1" customWidth="1"/>
    <col min="8849" max="8849" width="17.33203125" style="6" bestFit="1" customWidth="1"/>
    <col min="8850" max="8850" width="18.33203125" style="6" bestFit="1" customWidth="1"/>
    <col min="8851" max="8851" width="17.44140625" style="6" bestFit="1" customWidth="1"/>
    <col min="8852" max="8852" width="1.44140625" style="6" customWidth="1"/>
    <col min="8853" max="8853" width="17.33203125" style="6" customWidth="1"/>
    <col min="8854" max="8854" width="17.88671875" style="6" bestFit="1" customWidth="1"/>
    <col min="8855" max="8855" width="17.33203125" style="6" customWidth="1"/>
    <col min="8856" max="8856" width="17.88671875" style="6" bestFit="1" customWidth="1"/>
    <col min="8857" max="8857" width="17" style="6" bestFit="1" customWidth="1"/>
    <col min="8858" max="8858" width="1.6640625" style="6" customWidth="1"/>
    <col min="8859" max="8859" width="17.33203125" style="6" bestFit="1" customWidth="1"/>
    <col min="8860" max="8860" width="17.88671875" style="6" bestFit="1" customWidth="1"/>
    <col min="8861" max="8861" width="17.33203125" style="6" bestFit="1" customWidth="1"/>
    <col min="8862" max="8862" width="17.88671875" style="6" bestFit="1" customWidth="1"/>
    <col min="8863" max="8863" width="17" style="6" bestFit="1" customWidth="1"/>
    <col min="8864" max="8864" width="2" style="6" customWidth="1"/>
    <col min="8865" max="8866" width="17" style="6" bestFit="1" customWidth="1"/>
    <col min="8867" max="8867" width="17.33203125" style="6" bestFit="1" customWidth="1"/>
    <col min="8868" max="8868" width="16" style="6" customWidth="1"/>
    <col min="8869" max="8869" width="17" style="6" bestFit="1" customWidth="1"/>
    <col min="8870" max="8870" width="2" style="6" customWidth="1"/>
    <col min="8871" max="8872" width="17" style="6" bestFit="1" customWidth="1"/>
    <col min="8873" max="8873" width="17.33203125" style="6" bestFit="1" customWidth="1"/>
    <col min="8874" max="8874" width="16" style="6" customWidth="1"/>
    <col min="8875" max="8875" width="17" style="6" bestFit="1" customWidth="1"/>
    <col min="8876" max="8876" width="2" style="6" customWidth="1"/>
    <col min="8877" max="8877" width="17" style="6" bestFit="1" customWidth="1"/>
    <col min="8878" max="8878" width="25.5546875" style="6" customWidth="1"/>
    <col min="8879" max="8879" width="19.109375" style="6" customWidth="1"/>
    <col min="8880" max="8880" width="16" style="6" customWidth="1"/>
    <col min="8881" max="8881" width="17" style="6" bestFit="1" customWidth="1"/>
    <col min="8882" max="8882" width="2" style="6" customWidth="1"/>
    <col min="8883" max="8883" width="16" style="6" bestFit="1" customWidth="1"/>
    <col min="8884" max="8884" width="16.33203125" style="6" bestFit="1" customWidth="1"/>
    <col min="8885" max="8885" width="15.6640625" style="6" bestFit="1" customWidth="1"/>
    <col min="8886" max="8886" width="16.33203125" style="6" bestFit="1" customWidth="1"/>
    <col min="8887" max="8887" width="15" style="6" bestFit="1" customWidth="1"/>
    <col min="8888" max="8888" width="2" style="6" customWidth="1"/>
    <col min="8889" max="8889" width="17" style="6" bestFit="1" customWidth="1"/>
    <col min="8890" max="8890" width="16.6640625" style="6" bestFit="1" customWidth="1"/>
    <col min="8891" max="8891" width="17.33203125" style="6" bestFit="1" customWidth="1"/>
    <col min="8892" max="8892" width="16" style="6" bestFit="1" customWidth="1"/>
    <col min="8893" max="8893" width="17" style="6" customWidth="1"/>
    <col min="8894" max="8894" width="2" style="6" customWidth="1"/>
    <col min="8895" max="8895" width="16.33203125" style="6" bestFit="1" customWidth="1"/>
    <col min="8896" max="8896" width="18.88671875" style="6" bestFit="1" customWidth="1"/>
    <col min="8897" max="8897" width="16" style="6" bestFit="1" customWidth="1"/>
    <col min="8898" max="8898" width="16.33203125" style="6" bestFit="1" customWidth="1"/>
    <col min="8899" max="8899" width="15" style="6" bestFit="1" customWidth="1"/>
    <col min="8900" max="8900" width="2" style="6" customWidth="1"/>
    <col min="8901" max="8902" width="17" style="6" bestFit="1" customWidth="1"/>
    <col min="8903" max="8903" width="17.33203125" style="6" bestFit="1" customWidth="1"/>
    <col min="8904" max="8904" width="16" style="6" bestFit="1" customWidth="1"/>
    <col min="8905" max="8905" width="17" style="6" bestFit="1" customWidth="1"/>
    <col min="8906" max="8906" width="2.33203125" style="6" customWidth="1"/>
    <col min="8907" max="8907" width="17" style="6" customWidth="1"/>
    <col min="8908" max="8908" width="17" style="6" bestFit="1" customWidth="1"/>
    <col min="8909" max="8909" width="17.33203125" style="6" bestFit="1" customWidth="1"/>
    <col min="8910" max="8910" width="16" style="6" bestFit="1" customWidth="1"/>
    <col min="8911" max="8911" width="17" style="6" bestFit="1" customWidth="1"/>
    <col min="8912" max="8912" width="3" style="6" customWidth="1"/>
    <col min="8913" max="8913" width="16" style="6" bestFit="1" customWidth="1"/>
    <col min="8914" max="8914" width="17" style="6" bestFit="1" customWidth="1"/>
    <col min="8915" max="8915" width="17.33203125" style="6" bestFit="1" customWidth="1"/>
    <col min="8916" max="8916" width="16" style="6" bestFit="1" customWidth="1"/>
    <col min="8917" max="8917" width="17" style="6" bestFit="1" customWidth="1"/>
    <col min="8918" max="8918" width="3" style="6" customWidth="1"/>
    <col min="8919" max="8920" width="17.88671875" style="6" bestFit="1" customWidth="1"/>
    <col min="8921" max="8921" width="17.33203125" style="6" bestFit="1" customWidth="1"/>
    <col min="8922" max="8922" width="17.88671875" style="6" bestFit="1" customWidth="1"/>
    <col min="8923" max="8923" width="17" style="6" bestFit="1" customWidth="1"/>
    <col min="8924" max="8924" width="17.6640625" style="6" bestFit="1" customWidth="1"/>
    <col min="8925" max="8925" width="2" style="6" customWidth="1"/>
    <col min="8926" max="8926" width="19.88671875" style="6" bestFit="1" customWidth="1"/>
    <col min="8927" max="8927" width="18.88671875" style="6" bestFit="1" customWidth="1"/>
    <col min="8928" max="8928" width="19.5546875" style="6" bestFit="1" customWidth="1"/>
    <col min="8929" max="9100" width="11.44140625" style="6"/>
    <col min="9101" max="9101" width="18.6640625" style="6" customWidth="1"/>
    <col min="9102" max="9102" width="38.5546875" style="6" customWidth="1"/>
    <col min="9103" max="9103" width="21.5546875" style="6" bestFit="1" customWidth="1"/>
    <col min="9104" max="9104" width="20.44140625" style="6" bestFit="1" customWidth="1"/>
    <col min="9105" max="9105" width="17.33203125" style="6" bestFit="1" customWidth="1"/>
    <col min="9106" max="9106" width="18.33203125" style="6" bestFit="1" customWidth="1"/>
    <col min="9107" max="9107" width="17.44140625" style="6" bestFit="1" customWidth="1"/>
    <col min="9108" max="9108" width="1.44140625" style="6" customWidth="1"/>
    <col min="9109" max="9109" width="17.33203125" style="6" customWidth="1"/>
    <col min="9110" max="9110" width="17.88671875" style="6" bestFit="1" customWidth="1"/>
    <col min="9111" max="9111" width="17.33203125" style="6" customWidth="1"/>
    <col min="9112" max="9112" width="17.88671875" style="6" bestFit="1" customWidth="1"/>
    <col min="9113" max="9113" width="17" style="6" bestFit="1" customWidth="1"/>
    <col min="9114" max="9114" width="1.6640625" style="6" customWidth="1"/>
    <col min="9115" max="9115" width="17.33203125" style="6" bestFit="1" customWidth="1"/>
    <col min="9116" max="9116" width="17.88671875" style="6" bestFit="1" customWidth="1"/>
    <col min="9117" max="9117" width="17.33203125" style="6" bestFit="1" customWidth="1"/>
    <col min="9118" max="9118" width="17.88671875" style="6" bestFit="1" customWidth="1"/>
    <col min="9119" max="9119" width="17" style="6" bestFit="1" customWidth="1"/>
    <col min="9120" max="9120" width="2" style="6" customWidth="1"/>
    <col min="9121" max="9122" width="17" style="6" bestFit="1" customWidth="1"/>
    <col min="9123" max="9123" width="17.33203125" style="6" bestFit="1" customWidth="1"/>
    <col min="9124" max="9124" width="16" style="6" customWidth="1"/>
    <col min="9125" max="9125" width="17" style="6" bestFit="1" customWidth="1"/>
    <col min="9126" max="9126" width="2" style="6" customWidth="1"/>
    <col min="9127" max="9128" width="17" style="6" bestFit="1" customWidth="1"/>
    <col min="9129" max="9129" width="17.33203125" style="6" bestFit="1" customWidth="1"/>
    <col min="9130" max="9130" width="16" style="6" customWidth="1"/>
    <col min="9131" max="9131" width="17" style="6" bestFit="1" customWidth="1"/>
    <col min="9132" max="9132" width="2" style="6" customWidth="1"/>
    <col min="9133" max="9133" width="17" style="6" bestFit="1" customWidth="1"/>
    <col min="9134" max="9134" width="25.5546875" style="6" customWidth="1"/>
    <col min="9135" max="9135" width="19.109375" style="6" customWidth="1"/>
    <col min="9136" max="9136" width="16" style="6" customWidth="1"/>
    <col min="9137" max="9137" width="17" style="6" bestFit="1" customWidth="1"/>
    <col min="9138" max="9138" width="2" style="6" customWidth="1"/>
    <col min="9139" max="9139" width="16" style="6" bestFit="1" customWidth="1"/>
    <col min="9140" max="9140" width="16.33203125" style="6" bestFit="1" customWidth="1"/>
    <col min="9141" max="9141" width="15.6640625" style="6" bestFit="1" customWidth="1"/>
    <col min="9142" max="9142" width="16.33203125" style="6" bestFit="1" customWidth="1"/>
    <col min="9143" max="9143" width="15" style="6" bestFit="1" customWidth="1"/>
    <col min="9144" max="9144" width="2" style="6" customWidth="1"/>
    <col min="9145" max="9145" width="17" style="6" bestFit="1" customWidth="1"/>
    <col min="9146" max="9146" width="16.6640625" style="6" bestFit="1" customWidth="1"/>
    <col min="9147" max="9147" width="17.33203125" style="6" bestFit="1" customWidth="1"/>
    <col min="9148" max="9148" width="16" style="6" bestFit="1" customWidth="1"/>
    <col min="9149" max="9149" width="17" style="6" customWidth="1"/>
    <col min="9150" max="9150" width="2" style="6" customWidth="1"/>
    <col min="9151" max="9151" width="16.33203125" style="6" bestFit="1" customWidth="1"/>
    <col min="9152" max="9152" width="18.88671875" style="6" bestFit="1" customWidth="1"/>
    <col min="9153" max="9153" width="16" style="6" bestFit="1" customWidth="1"/>
    <col min="9154" max="9154" width="16.33203125" style="6" bestFit="1" customWidth="1"/>
    <col min="9155" max="9155" width="15" style="6" bestFit="1" customWidth="1"/>
    <col min="9156" max="9156" width="2" style="6" customWidth="1"/>
    <col min="9157" max="9158" width="17" style="6" bestFit="1" customWidth="1"/>
    <col min="9159" max="9159" width="17.33203125" style="6" bestFit="1" customWidth="1"/>
    <col min="9160" max="9160" width="16" style="6" bestFit="1" customWidth="1"/>
    <col min="9161" max="9161" width="17" style="6" bestFit="1" customWidth="1"/>
    <col min="9162" max="9162" width="2.33203125" style="6" customWidth="1"/>
    <col min="9163" max="9163" width="17" style="6" customWidth="1"/>
    <col min="9164" max="9164" width="17" style="6" bestFit="1" customWidth="1"/>
    <col min="9165" max="9165" width="17.33203125" style="6" bestFit="1" customWidth="1"/>
    <col min="9166" max="9166" width="16" style="6" bestFit="1" customWidth="1"/>
    <col min="9167" max="9167" width="17" style="6" bestFit="1" customWidth="1"/>
    <col min="9168" max="9168" width="3" style="6" customWidth="1"/>
    <col min="9169" max="9169" width="16" style="6" bestFit="1" customWidth="1"/>
    <col min="9170" max="9170" width="17" style="6" bestFit="1" customWidth="1"/>
    <col min="9171" max="9171" width="17.33203125" style="6" bestFit="1" customWidth="1"/>
    <col min="9172" max="9172" width="16" style="6" bestFit="1" customWidth="1"/>
    <col min="9173" max="9173" width="17" style="6" bestFit="1" customWidth="1"/>
    <col min="9174" max="9174" width="3" style="6" customWidth="1"/>
    <col min="9175" max="9176" width="17.88671875" style="6" bestFit="1" customWidth="1"/>
    <col min="9177" max="9177" width="17.33203125" style="6" bestFit="1" customWidth="1"/>
    <col min="9178" max="9178" width="17.88671875" style="6" bestFit="1" customWidth="1"/>
    <col min="9179" max="9179" width="17" style="6" bestFit="1" customWidth="1"/>
    <col min="9180" max="9180" width="17.6640625" style="6" bestFit="1" customWidth="1"/>
    <col min="9181" max="9181" width="2" style="6" customWidth="1"/>
    <col min="9182" max="9182" width="19.88671875" style="6" bestFit="1" customWidth="1"/>
    <col min="9183" max="9183" width="18.88671875" style="6" bestFit="1" customWidth="1"/>
    <col min="9184" max="9184" width="19.5546875" style="6" bestFit="1" customWidth="1"/>
    <col min="9185" max="9356" width="11.44140625" style="6"/>
    <col min="9357" max="9357" width="18.6640625" style="6" customWidth="1"/>
    <col min="9358" max="9358" width="38.5546875" style="6" customWidth="1"/>
    <col min="9359" max="9359" width="21.5546875" style="6" bestFit="1" customWidth="1"/>
    <col min="9360" max="9360" width="20.44140625" style="6" bestFit="1" customWidth="1"/>
    <col min="9361" max="9361" width="17.33203125" style="6" bestFit="1" customWidth="1"/>
    <col min="9362" max="9362" width="18.33203125" style="6" bestFit="1" customWidth="1"/>
    <col min="9363" max="9363" width="17.44140625" style="6" bestFit="1" customWidth="1"/>
    <col min="9364" max="9364" width="1.44140625" style="6" customWidth="1"/>
    <col min="9365" max="9365" width="17.33203125" style="6" customWidth="1"/>
    <col min="9366" max="9366" width="17.88671875" style="6" bestFit="1" customWidth="1"/>
    <col min="9367" max="9367" width="17.33203125" style="6" customWidth="1"/>
    <col min="9368" max="9368" width="17.88671875" style="6" bestFit="1" customWidth="1"/>
    <col min="9369" max="9369" width="17" style="6" bestFit="1" customWidth="1"/>
    <col min="9370" max="9370" width="1.6640625" style="6" customWidth="1"/>
    <col min="9371" max="9371" width="17.33203125" style="6" bestFit="1" customWidth="1"/>
    <col min="9372" max="9372" width="17.88671875" style="6" bestFit="1" customWidth="1"/>
    <col min="9373" max="9373" width="17.33203125" style="6" bestFit="1" customWidth="1"/>
    <col min="9374" max="9374" width="17.88671875" style="6" bestFit="1" customWidth="1"/>
    <col min="9375" max="9375" width="17" style="6" bestFit="1" customWidth="1"/>
    <col min="9376" max="9376" width="2" style="6" customWidth="1"/>
    <col min="9377" max="9378" width="17" style="6" bestFit="1" customWidth="1"/>
    <col min="9379" max="9379" width="17.33203125" style="6" bestFit="1" customWidth="1"/>
    <col min="9380" max="9380" width="16" style="6" customWidth="1"/>
    <col min="9381" max="9381" width="17" style="6" bestFit="1" customWidth="1"/>
    <col min="9382" max="9382" width="2" style="6" customWidth="1"/>
    <col min="9383" max="9384" width="17" style="6" bestFit="1" customWidth="1"/>
    <col min="9385" max="9385" width="17.33203125" style="6" bestFit="1" customWidth="1"/>
    <col min="9386" max="9386" width="16" style="6" customWidth="1"/>
    <col min="9387" max="9387" width="17" style="6" bestFit="1" customWidth="1"/>
    <col min="9388" max="9388" width="2" style="6" customWidth="1"/>
    <col min="9389" max="9389" width="17" style="6" bestFit="1" customWidth="1"/>
    <col min="9390" max="9390" width="25.5546875" style="6" customWidth="1"/>
    <col min="9391" max="9391" width="19.109375" style="6" customWidth="1"/>
    <col min="9392" max="9392" width="16" style="6" customWidth="1"/>
    <col min="9393" max="9393" width="17" style="6" bestFit="1" customWidth="1"/>
    <col min="9394" max="9394" width="2" style="6" customWidth="1"/>
    <col min="9395" max="9395" width="16" style="6" bestFit="1" customWidth="1"/>
    <col min="9396" max="9396" width="16.33203125" style="6" bestFit="1" customWidth="1"/>
    <col min="9397" max="9397" width="15.6640625" style="6" bestFit="1" customWidth="1"/>
    <col min="9398" max="9398" width="16.33203125" style="6" bestFit="1" customWidth="1"/>
    <col min="9399" max="9399" width="15" style="6" bestFit="1" customWidth="1"/>
    <col min="9400" max="9400" width="2" style="6" customWidth="1"/>
    <col min="9401" max="9401" width="17" style="6" bestFit="1" customWidth="1"/>
    <col min="9402" max="9402" width="16.6640625" style="6" bestFit="1" customWidth="1"/>
    <col min="9403" max="9403" width="17.33203125" style="6" bestFit="1" customWidth="1"/>
    <col min="9404" max="9404" width="16" style="6" bestFit="1" customWidth="1"/>
    <col min="9405" max="9405" width="17" style="6" customWidth="1"/>
    <col min="9406" max="9406" width="2" style="6" customWidth="1"/>
    <col min="9407" max="9407" width="16.33203125" style="6" bestFit="1" customWidth="1"/>
    <col min="9408" max="9408" width="18.88671875" style="6" bestFit="1" customWidth="1"/>
    <col min="9409" max="9409" width="16" style="6" bestFit="1" customWidth="1"/>
    <col min="9410" max="9410" width="16.33203125" style="6" bestFit="1" customWidth="1"/>
    <col min="9411" max="9411" width="15" style="6" bestFit="1" customWidth="1"/>
    <col min="9412" max="9412" width="2" style="6" customWidth="1"/>
    <col min="9413" max="9414" width="17" style="6" bestFit="1" customWidth="1"/>
    <col min="9415" max="9415" width="17.33203125" style="6" bestFit="1" customWidth="1"/>
    <col min="9416" max="9416" width="16" style="6" bestFit="1" customWidth="1"/>
    <col min="9417" max="9417" width="17" style="6" bestFit="1" customWidth="1"/>
    <col min="9418" max="9418" width="2.33203125" style="6" customWidth="1"/>
    <col min="9419" max="9419" width="17" style="6" customWidth="1"/>
    <col min="9420" max="9420" width="17" style="6" bestFit="1" customWidth="1"/>
    <col min="9421" max="9421" width="17.33203125" style="6" bestFit="1" customWidth="1"/>
    <col min="9422" max="9422" width="16" style="6" bestFit="1" customWidth="1"/>
    <col min="9423" max="9423" width="17" style="6" bestFit="1" customWidth="1"/>
    <col min="9424" max="9424" width="3" style="6" customWidth="1"/>
    <col min="9425" max="9425" width="16" style="6" bestFit="1" customWidth="1"/>
    <col min="9426" max="9426" width="17" style="6" bestFit="1" customWidth="1"/>
    <col min="9427" max="9427" width="17.33203125" style="6" bestFit="1" customWidth="1"/>
    <col min="9428" max="9428" width="16" style="6" bestFit="1" customWidth="1"/>
    <col min="9429" max="9429" width="17" style="6" bestFit="1" customWidth="1"/>
    <col min="9430" max="9430" width="3" style="6" customWidth="1"/>
    <col min="9431" max="9432" width="17.88671875" style="6" bestFit="1" customWidth="1"/>
    <col min="9433" max="9433" width="17.33203125" style="6" bestFit="1" customWidth="1"/>
    <col min="9434" max="9434" width="17.88671875" style="6" bestFit="1" customWidth="1"/>
    <col min="9435" max="9435" width="17" style="6" bestFit="1" customWidth="1"/>
    <col min="9436" max="9436" width="17.6640625" style="6" bestFit="1" customWidth="1"/>
    <col min="9437" max="9437" width="2" style="6" customWidth="1"/>
    <col min="9438" max="9438" width="19.88671875" style="6" bestFit="1" customWidth="1"/>
    <col min="9439" max="9439" width="18.88671875" style="6" bestFit="1" customWidth="1"/>
    <col min="9440" max="9440" width="19.5546875" style="6" bestFit="1" customWidth="1"/>
    <col min="9441" max="9612" width="11.44140625" style="6"/>
    <col min="9613" max="9613" width="18.6640625" style="6" customWidth="1"/>
    <col min="9614" max="9614" width="38.5546875" style="6" customWidth="1"/>
    <col min="9615" max="9615" width="21.5546875" style="6" bestFit="1" customWidth="1"/>
    <col min="9616" max="9616" width="20.44140625" style="6" bestFit="1" customWidth="1"/>
    <col min="9617" max="9617" width="17.33203125" style="6" bestFit="1" customWidth="1"/>
    <col min="9618" max="9618" width="18.33203125" style="6" bestFit="1" customWidth="1"/>
    <col min="9619" max="9619" width="17.44140625" style="6" bestFit="1" customWidth="1"/>
    <col min="9620" max="9620" width="1.44140625" style="6" customWidth="1"/>
    <col min="9621" max="9621" width="17.33203125" style="6" customWidth="1"/>
    <col min="9622" max="9622" width="17.88671875" style="6" bestFit="1" customWidth="1"/>
    <col min="9623" max="9623" width="17.33203125" style="6" customWidth="1"/>
    <col min="9624" max="9624" width="17.88671875" style="6" bestFit="1" customWidth="1"/>
    <col min="9625" max="9625" width="17" style="6" bestFit="1" customWidth="1"/>
    <col min="9626" max="9626" width="1.6640625" style="6" customWidth="1"/>
    <col min="9627" max="9627" width="17.33203125" style="6" bestFit="1" customWidth="1"/>
    <col min="9628" max="9628" width="17.88671875" style="6" bestFit="1" customWidth="1"/>
    <col min="9629" max="9629" width="17.33203125" style="6" bestFit="1" customWidth="1"/>
    <col min="9630" max="9630" width="17.88671875" style="6" bestFit="1" customWidth="1"/>
    <col min="9631" max="9631" width="17" style="6" bestFit="1" customWidth="1"/>
    <col min="9632" max="9632" width="2" style="6" customWidth="1"/>
    <col min="9633" max="9634" width="17" style="6" bestFit="1" customWidth="1"/>
    <col min="9635" max="9635" width="17.33203125" style="6" bestFit="1" customWidth="1"/>
    <col min="9636" max="9636" width="16" style="6" customWidth="1"/>
    <col min="9637" max="9637" width="17" style="6" bestFit="1" customWidth="1"/>
    <col min="9638" max="9638" width="2" style="6" customWidth="1"/>
    <col min="9639" max="9640" width="17" style="6" bestFit="1" customWidth="1"/>
    <col min="9641" max="9641" width="17.33203125" style="6" bestFit="1" customWidth="1"/>
    <col min="9642" max="9642" width="16" style="6" customWidth="1"/>
    <col min="9643" max="9643" width="17" style="6" bestFit="1" customWidth="1"/>
    <col min="9644" max="9644" width="2" style="6" customWidth="1"/>
    <col min="9645" max="9645" width="17" style="6" bestFit="1" customWidth="1"/>
    <col min="9646" max="9646" width="25.5546875" style="6" customWidth="1"/>
    <col min="9647" max="9647" width="19.109375" style="6" customWidth="1"/>
    <col min="9648" max="9648" width="16" style="6" customWidth="1"/>
    <col min="9649" max="9649" width="17" style="6" bestFit="1" customWidth="1"/>
    <col min="9650" max="9650" width="2" style="6" customWidth="1"/>
    <col min="9651" max="9651" width="16" style="6" bestFit="1" customWidth="1"/>
    <col min="9652" max="9652" width="16.33203125" style="6" bestFit="1" customWidth="1"/>
    <col min="9653" max="9653" width="15.6640625" style="6" bestFit="1" customWidth="1"/>
    <col min="9654" max="9654" width="16.33203125" style="6" bestFit="1" customWidth="1"/>
    <col min="9655" max="9655" width="15" style="6" bestFit="1" customWidth="1"/>
    <col min="9656" max="9656" width="2" style="6" customWidth="1"/>
    <col min="9657" max="9657" width="17" style="6" bestFit="1" customWidth="1"/>
    <col min="9658" max="9658" width="16.6640625" style="6" bestFit="1" customWidth="1"/>
    <col min="9659" max="9659" width="17.33203125" style="6" bestFit="1" customWidth="1"/>
    <col min="9660" max="9660" width="16" style="6" bestFit="1" customWidth="1"/>
    <col min="9661" max="9661" width="17" style="6" customWidth="1"/>
    <col min="9662" max="9662" width="2" style="6" customWidth="1"/>
    <col min="9663" max="9663" width="16.33203125" style="6" bestFit="1" customWidth="1"/>
    <col min="9664" max="9664" width="18.88671875" style="6" bestFit="1" customWidth="1"/>
    <col min="9665" max="9665" width="16" style="6" bestFit="1" customWidth="1"/>
    <col min="9666" max="9666" width="16.33203125" style="6" bestFit="1" customWidth="1"/>
    <col min="9667" max="9667" width="15" style="6" bestFit="1" customWidth="1"/>
    <col min="9668" max="9668" width="2" style="6" customWidth="1"/>
    <col min="9669" max="9670" width="17" style="6" bestFit="1" customWidth="1"/>
    <col min="9671" max="9671" width="17.33203125" style="6" bestFit="1" customWidth="1"/>
    <col min="9672" max="9672" width="16" style="6" bestFit="1" customWidth="1"/>
    <col min="9673" max="9673" width="17" style="6" bestFit="1" customWidth="1"/>
    <col min="9674" max="9674" width="2.33203125" style="6" customWidth="1"/>
    <col min="9675" max="9675" width="17" style="6" customWidth="1"/>
    <col min="9676" max="9676" width="17" style="6" bestFit="1" customWidth="1"/>
    <col min="9677" max="9677" width="17.33203125" style="6" bestFit="1" customWidth="1"/>
    <col min="9678" max="9678" width="16" style="6" bestFit="1" customWidth="1"/>
    <col min="9679" max="9679" width="17" style="6" bestFit="1" customWidth="1"/>
    <col min="9680" max="9680" width="3" style="6" customWidth="1"/>
    <col min="9681" max="9681" width="16" style="6" bestFit="1" customWidth="1"/>
    <col min="9682" max="9682" width="17" style="6" bestFit="1" customWidth="1"/>
    <col min="9683" max="9683" width="17.33203125" style="6" bestFit="1" customWidth="1"/>
    <col min="9684" max="9684" width="16" style="6" bestFit="1" customWidth="1"/>
    <col min="9685" max="9685" width="17" style="6" bestFit="1" customWidth="1"/>
    <col min="9686" max="9686" width="3" style="6" customWidth="1"/>
    <col min="9687" max="9688" width="17.88671875" style="6" bestFit="1" customWidth="1"/>
    <col min="9689" max="9689" width="17.33203125" style="6" bestFit="1" customWidth="1"/>
    <col min="9690" max="9690" width="17.88671875" style="6" bestFit="1" customWidth="1"/>
    <col min="9691" max="9691" width="17" style="6" bestFit="1" customWidth="1"/>
    <col min="9692" max="9692" width="17.6640625" style="6" bestFit="1" customWidth="1"/>
    <col min="9693" max="9693" width="2" style="6" customWidth="1"/>
    <col min="9694" max="9694" width="19.88671875" style="6" bestFit="1" customWidth="1"/>
    <col min="9695" max="9695" width="18.88671875" style="6" bestFit="1" customWidth="1"/>
    <col min="9696" max="9696" width="19.5546875" style="6" bestFit="1" customWidth="1"/>
    <col min="9697" max="9868" width="11.44140625" style="6"/>
    <col min="9869" max="9869" width="18.6640625" style="6" customWidth="1"/>
    <col min="9870" max="9870" width="38.5546875" style="6" customWidth="1"/>
    <col min="9871" max="9871" width="21.5546875" style="6" bestFit="1" customWidth="1"/>
    <col min="9872" max="9872" width="20.44140625" style="6" bestFit="1" customWidth="1"/>
    <col min="9873" max="9873" width="17.33203125" style="6" bestFit="1" customWidth="1"/>
    <col min="9874" max="9874" width="18.33203125" style="6" bestFit="1" customWidth="1"/>
    <col min="9875" max="9875" width="17.44140625" style="6" bestFit="1" customWidth="1"/>
    <col min="9876" max="9876" width="1.44140625" style="6" customWidth="1"/>
    <col min="9877" max="9877" width="17.33203125" style="6" customWidth="1"/>
    <col min="9878" max="9878" width="17.88671875" style="6" bestFit="1" customWidth="1"/>
    <col min="9879" max="9879" width="17.33203125" style="6" customWidth="1"/>
    <col min="9880" max="9880" width="17.88671875" style="6" bestFit="1" customWidth="1"/>
    <col min="9881" max="9881" width="17" style="6" bestFit="1" customWidth="1"/>
    <col min="9882" max="9882" width="1.6640625" style="6" customWidth="1"/>
    <col min="9883" max="9883" width="17.33203125" style="6" bestFit="1" customWidth="1"/>
    <col min="9884" max="9884" width="17.88671875" style="6" bestFit="1" customWidth="1"/>
    <col min="9885" max="9885" width="17.33203125" style="6" bestFit="1" customWidth="1"/>
    <col min="9886" max="9886" width="17.88671875" style="6" bestFit="1" customWidth="1"/>
    <col min="9887" max="9887" width="17" style="6" bestFit="1" customWidth="1"/>
    <col min="9888" max="9888" width="2" style="6" customWidth="1"/>
    <col min="9889" max="9890" width="17" style="6" bestFit="1" customWidth="1"/>
    <col min="9891" max="9891" width="17.33203125" style="6" bestFit="1" customWidth="1"/>
    <col min="9892" max="9892" width="16" style="6" customWidth="1"/>
    <col min="9893" max="9893" width="17" style="6" bestFit="1" customWidth="1"/>
    <col min="9894" max="9894" width="2" style="6" customWidth="1"/>
    <col min="9895" max="9896" width="17" style="6" bestFit="1" customWidth="1"/>
    <col min="9897" max="9897" width="17.33203125" style="6" bestFit="1" customWidth="1"/>
    <col min="9898" max="9898" width="16" style="6" customWidth="1"/>
    <col min="9899" max="9899" width="17" style="6" bestFit="1" customWidth="1"/>
    <col min="9900" max="9900" width="2" style="6" customWidth="1"/>
    <col min="9901" max="9901" width="17" style="6" bestFit="1" customWidth="1"/>
    <col min="9902" max="9902" width="25.5546875" style="6" customWidth="1"/>
    <col min="9903" max="9903" width="19.109375" style="6" customWidth="1"/>
    <col min="9904" max="9904" width="16" style="6" customWidth="1"/>
    <col min="9905" max="9905" width="17" style="6" bestFit="1" customWidth="1"/>
    <col min="9906" max="9906" width="2" style="6" customWidth="1"/>
    <col min="9907" max="9907" width="16" style="6" bestFit="1" customWidth="1"/>
    <col min="9908" max="9908" width="16.33203125" style="6" bestFit="1" customWidth="1"/>
    <col min="9909" max="9909" width="15.6640625" style="6" bestFit="1" customWidth="1"/>
    <col min="9910" max="9910" width="16.33203125" style="6" bestFit="1" customWidth="1"/>
    <col min="9911" max="9911" width="15" style="6" bestFit="1" customWidth="1"/>
    <col min="9912" max="9912" width="2" style="6" customWidth="1"/>
    <col min="9913" max="9913" width="17" style="6" bestFit="1" customWidth="1"/>
    <col min="9914" max="9914" width="16.6640625" style="6" bestFit="1" customWidth="1"/>
    <col min="9915" max="9915" width="17.33203125" style="6" bestFit="1" customWidth="1"/>
    <col min="9916" max="9916" width="16" style="6" bestFit="1" customWidth="1"/>
    <col min="9917" max="9917" width="17" style="6" customWidth="1"/>
    <col min="9918" max="9918" width="2" style="6" customWidth="1"/>
    <col min="9919" max="9919" width="16.33203125" style="6" bestFit="1" customWidth="1"/>
    <col min="9920" max="9920" width="18.88671875" style="6" bestFit="1" customWidth="1"/>
    <col min="9921" max="9921" width="16" style="6" bestFit="1" customWidth="1"/>
    <col min="9922" max="9922" width="16.33203125" style="6" bestFit="1" customWidth="1"/>
    <col min="9923" max="9923" width="15" style="6" bestFit="1" customWidth="1"/>
    <col min="9924" max="9924" width="2" style="6" customWidth="1"/>
    <col min="9925" max="9926" width="17" style="6" bestFit="1" customWidth="1"/>
    <col min="9927" max="9927" width="17.33203125" style="6" bestFit="1" customWidth="1"/>
    <col min="9928" max="9928" width="16" style="6" bestFit="1" customWidth="1"/>
    <col min="9929" max="9929" width="17" style="6" bestFit="1" customWidth="1"/>
    <col min="9930" max="9930" width="2.33203125" style="6" customWidth="1"/>
    <col min="9931" max="9931" width="17" style="6" customWidth="1"/>
    <col min="9932" max="9932" width="17" style="6" bestFit="1" customWidth="1"/>
    <col min="9933" max="9933" width="17.33203125" style="6" bestFit="1" customWidth="1"/>
    <col min="9934" max="9934" width="16" style="6" bestFit="1" customWidth="1"/>
    <col min="9935" max="9935" width="17" style="6" bestFit="1" customWidth="1"/>
    <col min="9936" max="9936" width="3" style="6" customWidth="1"/>
    <col min="9937" max="9937" width="16" style="6" bestFit="1" customWidth="1"/>
    <col min="9938" max="9938" width="17" style="6" bestFit="1" customWidth="1"/>
    <col min="9939" max="9939" width="17.33203125" style="6" bestFit="1" customWidth="1"/>
    <col min="9940" max="9940" width="16" style="6" bestFit="1" customWidth="1"/>
    <col min="9941" max="9941" width="17" style="6" bestFit="1" customWidth="1"/>
    <col min="9942" max="9942" width="3" style="6" customWidth="1"/>
    <col min="9943" max="9944" width="17.88671875" style="6" bestFit="1" customWidth="1"/>
    <col min="9945" max="9945" width="17.33203125" style="6" bestFit="1" customWidth="1"/>
    <col min="9946" max="9946" width="17.88671875" style="6" bestFit="1" customWidth="1"/>
    <col min="9947" max="9947" width="17" style="6" bestFit="1" customWidth="1"/>
    <col min="9948" max="9948" width="17.6640625" style="6" bestFit="1" customWidth="1"/>
    <col min="9949" max="9949" width="2" style="6" customWidth="1"/>
    <col min="9950" max="9950" width="19.88671875" style="6" bestFit="1" customWidth="1"/>
    <col min="9951" max="9951" width="18.88671875" style="6" bestFit="1" customWidth="1"/>
    <col min="9952" max="9952" width="19.5546875" style="6" bestFit="1" customWidth="1"/>
    <col min="9953" max="10124" width="11.44140625" style="6"/>
    <col min="10125" max="10125" width="18.6640625" style="6" customWidth="1"/>
    <col min="10126" max="10126" width="38.5546875" style="6" customWidth="1"/>
    <col min="10127" max="10127" width="21.5546875" style="6" bestFit="1" customWidth="1"/>
    <col min="10128" max="10128" width="20.44140625" style="6" bestFit="1" customWidth="1"/>
    <col min="10129" max="10129" width="17.33203125" style="6" bestFit="1" customWidth="1"/>
    <col min="10130" max="10130" width="18.33203125" style="6" bestFit="1" customWidth="1"/>
    <col min="10131" max="10131" width="17.44140625" style="6" bestFit="1" customWidth="1"/>
    <col min="10132" max="10132" width="1.44140625" style="6" customWidth="1"/>
    <col min="10133" max="10133" width="17.33203125" style="6" customWidth="1"/>
    <col min="10134" max="10134" width="17.88671875" style="6" bestFit="1" customWidth="1"/>
    <col min="10135" max="10135" width="17.33203125" style="6" customWidth="1"/>
    <col min="10136" max="10136" width="17.88671875" style="6" bestFit="1" customWidth="1"/>
    <col min="10137" max="10137" width="17" style="6" bestFit="1" customWidth="1"/>
    <col min="10138" max="10138" width="1.6640625" style="6" customWidth="1"/>
    <col min="10139" max="10139" width="17.33203125" style="6" bestFit="1" customWidth="1"/>
    <col min="10140" max="10140" width="17.88671875" style="6" bestFit="1" customWidth="1"/>
    <col min="10141" max="10141" width="17.33203125" style="6" bestFit="1" customWidth="1"/>
    <col min="10142" max="10142" width="17.88671875" style="6" bestFit="1" customWidth="1"/>
    <col min="10143" max="10143" width="17" style="6" bestFit="1" customWidth="1"/>
    <col min="10144" max="10144" width="2" style="6" customWidth="1"/>
    <col min="10145" max="10146" width="17" style="6" bestFit="1" customWidth="1"/>
    <col min="10147" max="10147" width="17.33203125" style="6" bestFit="1" customWidth="1"/>
    <col min="10148" max="10148" width="16" style="6" customWidth="1"/>
    <col min="10149" max="10149" width="17" style="6" bestFit="1" customWidth="1"/>
    <col min="10150" max="10150" width="2" style="6" customWidth="1"/>
    <col min="10151" max="10152" width="17" style="6" bestFit="1" customWidth="1"/>
    <col min="10153" max="10153" width="17.33203125" style="6" bestFit="1" customWidth="1"/>
    <col min="10154" max="10154" width="16" style="6" customWidth="1"/>
    <col min="10155" max="10155" width="17" style="6" bestFit="1" customWidth="1"/>
    <col min="10156" max="10156" width="2" style="6" customWidth="1"/>
    <col min="10157" max="10157" width="17" style="6" bestFit="1" customWidth="1"/>
    <col min="10158" max="10158" width="25.5546875" style="6" customWidth="1"/>
    <col min="10159" max="10159" width="19.109375" style="6" customWidth="1"/>
    <col min="10160" max="10160" width="16" style="6" customWidth="1"/>
    <col min="10161" max="10161" width="17" style="6" bestFit="1" customWidth="1"/>
    <col min="10162" max="10162" width="2" style="6" customWidth="1"/>
    <col min="10163" max="10163" width="16" style="6" bestFit="1" customWidth="1"/>
    <col min="10164" max="10164" width="16.33203125" style="6" bestFit="1" customWidth="1"/>
    <col min="10165" max="10165" width="15.6640625" style="6" bestFit="1" customWidth="1"/>
    <col min="10166" max="10166" width="16.33203125" style="6" bestFit="1" customWidth="1"/>
    <col min="10167" max="10167" width="15" style="6" bestFit="1" customWidth="1"/>
    <col min="10168" max="10168" width="2" style="6" customWidth="1"/>
    <col min="10169" max="10169" width="17" style="6" bestFit="1" customWidth="1"/>
    <col min="10170" max="10170" width="16.6640625" style="6" bestFit="1" customWidth="1"/>
    <col min="10171" max="10171" width="17.33203125" style="6" bestFit="1" customWidth="1"/>
    <col min="10172" max="10172" width="16" style="6" bestFit="1" customWidth="1"/>
    <col min="10173" max="10173" width="17" style="6" customWidth="1"/>
    <col min="10174" max="10174" width="2" style="6" customWidth="1"/>
    <col min="10175" max="10175" width="16.33203125" style="6" bestFit="1" customWidth="1"/>
    <col min="10176" max="10176" width="18.88671875" style="6" bestFit="1" customWidth="1"/>
    <col min="10177" max="10177" width="16" style="6" bestFit="1" customWidth="1"/>
    <col min="10178" max="10178" width="16.33203125" style="6" bestFit="1" customWidth="1"/>
    <col min="10179" max="10179" width="15" style="6" bestFit="1" customWidth="1"/>
    <col min="10180" max="10180" width="2" style="6" customWidth="1"/>
    <col min="10181" max="10182" width="17" style="6" bestFit="1" customWidth="1"/>
    <col min="10183" max="10183" width="17.33203125" style="6" bestFit="1" customWidth="1"/>
    <col min="10184" max="10184" width="16" style="6" bestFit="1" customWidth="1"/>
    <col min="10185" max="10185" width="17" style="6" bestFit="1" customWidth="1"/>
    <col min="10186" max="10186" width="2.33203125" style="6" customWidth="1"/>
    <col min="10187" max="10187" width="17" style="6" customWidth="1"/>
    <col min="10188" max="10188" width="17" style="6" bestFit="1" customWidth="1"/>
    <col min="10189" max="10189" width="17.33203125" style="6" bestFit="1" customWidth="1"/>
    <col min="10190" max="10190" width="16" style="6" bestFit="1" customWidth="1"/>
    <col min="10191" max="10191" width="17" style="6" bestFit="1" customWidth="1"/>
    <col min="10192" max="10192" width="3" style="6" customWidth="1"/>
    <col min="10193" max="10193" width="16" style="6" bestFit="1" customWidth="1"/>
    <col min="10194" max="10194" width="17" style="6" bestFit="1" customWidth="1"/>
    <col min="10195" max="10195" width="17.33203125" style="6" bestFit="1" customWidth="1"/>
    <col min="10196" max="10196" width="16" style="6" bestFit="1" customWidth="1"/>
    <col min="10197" max="10197" width="17" style="6" bestFit="1" customWidth="1"/>
    <col min="10198" max="10198" width="3" style="6" customWidth="1"/>
    <col min="10199" max="10200" width="17.88671875" style="6" bestFit="1" customWidth="1"/>
    <col min="10201" max="10201" width="17.33203125" style="6" bestFit="1" customWidth="1"/>
    <col min="10202" max="10202" width="17.88671875" style="6" bestFit="1" customWidth="1"/>
    <col min="10203" max="10203" width="17" style="6" bestFit="1" customWidth="1"/>
    <col min="10204" max="10204" width="17.6640625" style="6" bestFit="1" customWidth="1"/>
    <col min="10205" max="10205" width="2" style="6" customWidth="1"/>
    <col min="10206" max="10206" width="19.88671875" style="6" bestFit="1" customWidth="1"/>
    <col min="10207" max="10207" width="18.88671875" style="6" bestFit="1" customWidth="1"/>
    <col min="10208" max="10208" width="19.5546875" style="6" bestFit="1" customWidth="1"/>
    <col min="10209" max="10380" width="11.44140625" style="6"/>
    <col min="10381" max="10381" width="18.6640625" style="6" customWidth="1"/>
    <col min="10382" max="10382" width="38.5546875" style="6" customWidth="1"/>
    <col min="10383" max="10383" width="21.5546875" style="6" bestFit="1" customWidth="1"/>
    <col min="10384" max="10384" width="20.44140625" style="6" bestFit="1" customWidth="1"/>
    <col min="10385" max="10385" width="17.33203125" style="6" bestFit="1" customWidth="1"/>
    <col min="10386" max="10386" width="18.33203125" style="6" bestFit="1" customWidth="1"/>
    <col min="10387" max="10387" width="17.44140625" style="6" bestFit="1" customWidth="1"/>
    <col min="10388" max="10388" width="1.44140625" style="6" customWidth="1"/>
    <col min="10389" max="10389" width="17.33203125" style="6" customWidth="1"/>
    <col min="10390" max="10390" width="17.88671875" style="6" bestFit="1" customWidth="1"/>
    <col min="10391" max="10391" width="17.33203125" style="6" customWidth="1"/>
    <col min="10392" max="10392" width="17.88671875" style="6" bestFit="1" customWidth="1"/>
    <col min="10393" max="10393" width="17" style="6" bestFit="1" customWidth="1"/>
    <col min="10394" max="10394" width="1.6640625" style="6" customWidth="1"/>
    <col min="10395" max="10395" width="17.33203125" style="6" bestFit="1" customWidth="1"/>
    <col min="10396" max="10396" width="17.88671875" style="6" bestFit="1" customWidth="1"/>
    <col min="10397" max="10397" width="17.33203125" style="6" bestFit="1" customWidth="1"/>
    <col min="10398" max="10398" width="17.88671875" style="6" bestFit="1" customWidth="1"/>
    <col min="10399" max="10399" width="17" style="6" bestFit="1" customWidth="1"/>
    <col min="10400" max="10400" width="2" style="6" customWidth="1"/>
    <col min="10401" max="10402" width="17" style="6" bestFit="1" customWidth="1"/>
    <col min="10403" max="10403" width="17.33203125" style="6" bestFit="1" customWidth="1"/>
    <col min="10404" max="10404" width="16" style="6" customWidth="1"/>
    <col min="10405" max="10405" width="17" style="6" bestFit="1" customWidth="1"/>
    <col min="10406" max="10406" width="2" style="6" customWidth="1"/>
    <col min="10407" max="10408" width="17" style="6" bestFit="1" customWidth="1"/>
    <col min="10409" max="10409" width="17.33203125" style="6" bestFit="1" customWidth="1"/>
    <col min="10410" max="10410" width="16" style="6" customWidth="1"/>
    <col min="10411" max="10411" width="17" style="6" bestFit="1" customWidth="1"/>
    <col min="10412" max="10412" width="2" style="6" customWidth="1"/>
    <col min="10413" max="10413" width="17" style="6" bestFit="1" customWidth="1"/>
    <col min="10414" max="10414" width="25.5546875" style="6" customWidth="1"/>
    <col min="10415" max="10415" width="19.109375" style="6" customWidth="1"/>
    <col min="10416" max="10416" width="16" style="6" customWidth="1"/>
    <col min="10417" max="10417" width="17" style="6" bestFit="1" customWidth="1"/>
    <col min="10418" max="10418" width="2" style="6" customWidth="1"/>
    <col min="10419" max="10419" width="16" style="6" bestFit="1" customWidth="1"/>
    <col min="10420" max="10420" width="16.33203125" style="6" bestFit="1" customWidth="1"/>
    <col min="10421" max="10421" width="15.6640625" style="6" bestFit="1" customWidth="1"/>
    <col min="10422" max="10422" width="16.33203125" style="6" bestFit="1" customWidth="1"/>
    <col min="10423" max="10423" width="15" style="6" bestFit="1" customWidth="1"/>
    <col min="10424" max="10424" width="2" style="6" customWidth="1"/>
    <col min="10425" max="10425" width="17" style="6" bestFit="1" customWidth="1"/>
    <col min="10426" max="10426" width="16.6640625" style="6" bestFit="1" customWidth="1"/>
    <col min="10427" max="10427" width="17.33203125" style="6" bestFit="1" customWidth="1"/>
    <col min="10428" max="10428" width="16" style="6" bestFit="1" customWidth="1"/>
    <col min="10429" max="10429" width="17" style="6" customWidth="1"/>
    <col min="10430" max="10430" width="2" style="6" customWidth="1"/>
    <col min="10431" max="10431" width="16.33203125" style="6" bestFit="1" customWidth="1"/>
    <col min="10432" max="10432" width="18.88671875" style="6" bestFit="1" customWidth="1"/>
    <col min="10433" max="10433" width="16" style="6" bestFit="1" customWidth="1"/>
    <col min="10434" max="10434" width="16.33203125" style="6" bestFit="1" customWidth="1"/>
    <col min="10435" max="10435" width="15" style="6" bestFit="1" customWidth="1"/>
    <col min="10436" max="10436" width="2" style="6" customWidth="1"/>
    <col min="10437" max="10438" width="17" style="6" bestFit="1" customWidth="1"/>
    <col min="10439" max="10439" width="17.33203125" style="6" bestFit="1" customWidth="1"/>
    <col min="10440" max="10440" width="16" style="6" bestFit="1" customWidth="1"/>
    <col min="10441" max="10441" width="17" style="6" bestFit="1" customWidth="1"/>
    <col min="10442" max="10442" width="2.33203125" style="6" customWidth="1"/>
    <col min="10443" max="10443" width="17" style="6" customWidth="1"/>
    <col min="10444" max="10444" width="17" style="6" bestFit="1" customWidth="1"/>
    <col min="10445" max="10445" width="17.33203125" style="6" bestFit="1" customWidth="1"/>
    <col min="10446" max="10446" width="16" style="6" bestFit="1" customWidth="1"/>
    <col min="10447" max="10447" width="17" style="6" bestFit="1" customWidth="1"/>
    <col min="10448" max="10448" width="3" style="6" customWidth="1"/>
    <col min="10449" max="10449" width="16" style="6" bestFit="1" customWidth="1"/>
    <col min="10450" max="10450" width="17" style="6" bestFit="1" customWidth="1"/>
    <col min="10451" max="10451" width="17.33203125" style="6" bestFit="1" customWidth="1"/>
    <col min="10452" max="10452" width="16" style="6" bestFit="1" customWidth="1"/>
    <col min="10453" max="10453" width="17" style="6" bestFit="1" customWidth="1"/>
    <col min="10454" max="10454" width="3" style="6" customWidth="1"/>
    <col min="10455" max="10456" width="17.88671875" style="6" bestFit="1" customWidth="1"/>
    <col min="10457" max="10457" width="17.33203125" style="6" bestFit="1" customWidth="1"/>
    <col min="10458" max="10458" width="17.88671875" style="6" bestFit="1" customWidth="1"/>
    <col min="10459" max="10459" width="17" style="6" bestFit="1" customWidth="1"/>
    <col min="10460" max="10460" width="17.6640625" style="6" bestFit="1" customWidth="1"/>
    <col min="10461" max="10461" width="2" style="6" customWidth="1"/>
    <col min="10462" max="10462" width="19.88671875" style="6" bestFit="1" customWidth="1"/>
    <col min="10463" max="10463" width="18.88671875" style="6" bestFit="1" customWidth="1"/>
    <col min="10464" max="10464" width="19.5546875" style="6" bestFit="1" customWidth="1"/>
    <col min="10465" max="10636" width="11.44140625" style="6"/>
    <col min="10637" max="10637" width="18.6640625" style="6" customWidth="1"/>
    <col min="10638" max="10638" width="38.5546875" style="6" customWidth="1"/>
    <col min="10639" max="10639" width="21.5546875" style="6" bestFit="1" customWidth="1"/>
    <col min="10640" max="10640" width="20.44140625" style="6" bestFit="1" customWidth="1"/>
    <col min="10641" max="10641" width="17.33203125" style="6" bestFit="1" customWidth="1"/>
    <col min="10642" max="10642" width="18.33203125" style="6" bestFit="1" customWidth="1"/>
    <col min="10643" max="10643" width="17.44140625" style="6" bestFit="1" customWidth="1"/>
    <col min="10644" max="10644" width="1.44140625" style="6" customWidth="1"/>
    <col min="10645" max="10645" width="17.33203125" style="6" customWidth="1"/>
    <col min="10646" max="10646" width="17.88671875" style="6" bestFit="1" customWidth="1"/>
    <col min="10647" max="10647" width="17.33203125" style="6" customWidth="1"/>
    <col min="10648" max="10648" width="17.88671875" style="6" bestFit="1" customWidth="1"/>
    <col min="10649" max="10649" width="17" style="6" bestFit="1" customWidth="1"/>
    <col min="10650" max="10650" width="1.6640625" style="6" customWidth="1"/>
    <col min="10651" max="10651" width="17.33203125" style="6" bestFit="1" customWidth="1"/>
    <col min="10652" max="10652" width="17.88671875" style="6" bestFit="1" customWidth="1"/>
    <col min="10653" max="10653" width="17.33203125" style="6" bestFit="1" customWidth="1"/>
    <col min="10654" max="10654" width="17.88671875" style="6" bestFit="1" customWidth="1"/>
    <col min="10655" max="10655" width="17" style="6" bestFit="1" customWidth="1"/>
    <col min="10656" max="10656" width="2" style="6" customWidth="1"/>
    <col min="10657" max="10658" width="17" style="6" bestFit="1" customWidth="1"/>
    <col min="10659" max="10659" width="17.33203125" style="6" bestFit="1" customWidth="1"/>
    <col min="10660" max="10660" width="16" style="6" customWidth="1"/>
    <col min="10661" max="10661" width="17" style="6" bestFit="1" customWidth="1"/>
    <col min="10662" max="10662" width="2" style="6" customWidth="1"/>
    <col min="10663" max="10664" width="17" style="6" bestFit="1" customWidth="1"/>
    <col min="10665" max="10665" width="17.33203125" style="6" bestFit="1" customWidth="1"/>
    <col min="10666" max="10666" width="16" style="6" customWidth="1"/>
    <col min="10667" max="10667" width="17" style="6" bestFit="1" customWidth="1"/>
    <col min="10668" max="10668" width="2" style="6" customWidth="1"/>
    <col min="10669" max="10669" width="17" style="6" bestFit="1" customWidth="1"/>
    <col min="10670" max="10670" width="25.5546875" style="6" customWidth="1"/>
    <col min="10671" max="10671" width="19.109375" style="6" customWidth="1"/>
    <col min="10672" max="10672" width="16" style="6" customWidth="1"/>
    <col min="10673" max="10673" width="17" style="6" bestFit="1" customWidth="1"/>
    <col min="10674" max="10674" width="2" style="6" customWidth="1"/>
    <col min="10675" max="10675" width="16" style="6" bestFit="1" customWidth="1"/>
    <col min="10676" max="10676" width="16.33203125" style="6" bestFit="1" customWidth="1"/>
    <col min="10677" max="10677" width="15.6640625" style="6" bestFit="1" customWidth="1"/>
    <col min="10678" max="10678" width="16.33203125" style="6" bestFit="1" customWidth="1"/>
    <col min="10679" max="10679" width="15" style="6" bestFit="1" customWidth="1"/>
    <col min="10680" max="10680" width="2" style="6" customWidth="1"/>
    <col min="10681" max="10681" width="17" style="6" bestFit="1" customWidth="1"/>
    <col min="10682" max="10682" width="16.6640625" style="6" bestFit="1" customWidth="1"/>
    <col min="10683" max="10683" width="17.33203125" style="6" bestFit="1" customWidth="1"/>
    <col min="10684" max="10684" width="16" style="6" bestFit="1" customWidth="1"/>
    <col min="10685" max="10685" width="17" style="6" customWidth="1"/>
    <col min="10686" max="10686" width="2" style="6" customWidth="1"/>
    <col min="10687" max="10687" width="16.33203125" style="6" bestFit="1" customWidth="1"/>
    <col min="10688" max="10688" width="18.88671875" style="6" bestFit="1" customWidth="1"/>
    <col min="10689" max="10689" width="16" style="6" bestFit="1" customWidth="1"/>
    <col min="10690" max="10690" width="16.33203125" style="6" bestFit="1" customWidth="1"/>
    <col min="10691" max="10691" width="15" style="6" bestFit="1" customWidth="1"/>
    <col min="10692" max="10692" width="2" style="6" customWidth="1"/>
    <col min="10693" max="10694" width="17" style="6" bestFit="1" customWidth="1"/>
    <col min="10695" max="10695" width="17.33203125" style="6" bestFit="1" customWidth="1"/>
    <col min="10696" max="10696" width="16" style="6" bestFit="1" customWidth="1"/>
    <col min="10697" max="10697" width="17" style="6" bestFit="1" customWidth="1"/>
    <col min="10698" max="10698" width="2.33203125" style="6" customWidth="1"/>
    <col min="10699" max="10699" width="17" style="6" customWidth="1"/>
    <col min="10700" max="10700" width="17" style="6" bestFit="1" customWidth="1"/>
    <col min="10701" max="10701" width="17.33203125" style="6" bestFit="1" customWidth="1"/>
    <col min="10702" max="10702" width="16" style="6" bestFit="1" customWidth="1"/>
    <col min="10703" max="10703" width="17" style="6" bestFit="1" customWidth="1"/>
    <col min="10704" max="10704" width="3" style="6" customWidth="1"/>
    <col min="10705" max="10705" width="16" style="6" bestFit="1" customWidth="1"/>
    <col min="10706" max="10706" width="17" style="6" bestFit="1" customWidth="1"/>
    <col min="10707" max="10707" width="17.33203125" style="6" bestFit="1" customWidth="1"/>
    <col min="10708" max="10708" width="16" style="6" bestFit="1" customWidth="1"/>
    <col min="10709" max="10709" width="17" style="6" bestFit="1" customWidth="1"/>
    <col min="10710" max="10710" width="3" style="6" customWidth="1"/>
    <col min="10711" max="10712" width="17.88671875" style="6" bestFit="1" customWidth="1"/>
    <col min="10713" max="10713" width="17.33203125" style="6" bestFit="1" customWidth="1"/>
    <col min="10714" max="10714" width="17.88671875" style="6" bestFit="1" customWidth="1"/>
    <col min="10715" max="10715" width="17" style="6" bestFit="1" customWidth="1"/>
    <col min="10716" max="10716" width="17.6640625" style="6" bestFit="1" customWidth="1"/>
    <col min="10717" max="10717" width="2" style="6" customWidth="1"/>
    <col min="10718" max="10718" width="19.88671875" style="6" bestFit="1" customWidth="1"/>
    <col min="10719" max="10719" width="18.88671875" style="6" bestFit="1" customWidth="1"/>
    <col min="10720" max="10720" width="19.5546875" style="6" bestFit="1" customWidth="1"/>
    <col min="10721" max="10892" width="11.44140625" style="6"/>
    <col min="10893" max="10893" width="18.6640625" style="6" customWidth="1"/>
    <col min="10894" max="10894" width="38.5546875" style="6" customWidth="1"/>
    <col min="10895" max="10895" width="21.5546875" style="6" bestFit="1" customWidth="1"/>
    <col min="10896" max="10896" width="20.44140625" style="6" bestFit="1" customWidth="1"/>
    <col min="10897" max="10897" width="17.33203125" style="6" bestFit="1" customWidth="1"/>
    <col min="10898" max="10898" width="18.33203125" style="6" bestFit="1" customWidth="1"/>
    <col min="10899" max="10899" width="17.44140625" style="6" bestFit="1" customWidth="1"/>
    <col min="10900" max="10900" width="1.44140625" style="6" customWidth="1"/>
    <col min="10901" max="10901" width="17.33203125" style="6" customWidth="1"/>
    <col min="10902" max="10902" width="17.88671875" style="6" bestFit="1" customWidth="1"/>
    <col min="10903" max="10903" width="17.33203125" style="6" customWidth="1"/>
    <col min="10904" max="10904" width="17.88671875" style="6" bestFit="1" customWidth="1"/>
    <col min="10905" max="10905" width="17" style="6" bestFit="1" customWidth="1"/>
    <col min="10906" max="10906" width="1.6640625" style="6" customWidth="1"/>
    <col min="10907" max="10907" width="17.33203125" style="6" bestFit="1" customWidth="1"/>
    <col min="10908" max="10908" width="17.88671875" style="6" bestFit="1" customWidth="1"/>
    <col min="10909" max="10909" width="17.33203125" style="6" bestFit="1" customWidth="1"/>
    <col min="10910" max="10910" width="17.88671875" style="6" bestFit="1" customWidth="1"/>
    <col min="10911" max="10911" width="17" style="6" bestFit="1" customWidth="1"/>
    <col min="10912" max="10912" width="2" style="6" customWidth="1"/>
    <col min="10913" max="10914" width="17" style="6" bestFit="1" customWidth="1"/>
    <col min="10915" max="10915" width="17.33203125" style="6" bestFit="1" customWidth="1"/>
    <col min="10916" max="10916" width="16" style="6" customWidth="1"/>
    <col min="10917" max="10917" width="17" style="6" bestFit="1" customWidth="1"/>
    <col min="10918" max="10918" width="2" style="6" customWidth="1"/>
    <col min="10919" max="10920" width="17" style="6" bestFit="1" customWidth="1"/>
    <col min="10921" max="10921" width="17.33203125" style="6" bestFit="1" customWidth="1"/>
    <col min="10922" max="10922" width="16" style="6" customWidth="1"/>
    <col min="10923" max="10923" width="17" style="6" bestFit="1" customWidth="1"/>
    <col min="10924" max="10924" width="2" style="6" customWidth="1"/>
    <col min="10925" max="10925" width="17" style="6" bestFit="1" customWidth="1"/>
    <col min="10926" max="10926" width="25.5546875" style="6" customWidth="1"/>
    <col min="10927" max="10927" width="19.109375" style="6" customWidth="1"/>
    <col min="10928" max="10928" width="16" style="6" customWidth="1"/>
    <col min="10929" max="10929" width="17" style="6" bestFit="1" customWidth="1"/>
    <col min="10930" max="10930" width="2" style="6" customWidth="1"/>
    <col min="10931" max="10931" width="16" style="6" bestFit="1" customWidth="1"/>
    <col min="10932" max="10932" width="16.33203125" style="6" bestFit="1" customWidth="1"/>
    <col min="10933" max="10933" width="15.6640625" style="6" bestFit="1" customWidth="1"/>
    <col min="10934" max="10934" width="16.33203125" style="6" bestFit="1" customWidth="1"/>
    <col min="10935" max="10935" width="15" style="6" bestFit="1" customWidth="1"/>
    <col min="10936" max="10936" width="2" style="6" customWidth="1"/>
    <col min="10937" max="10937" width="17" style="6" bestFit="1" customWidth="1"/>
    <col min="10938" max="10938" width="16.6640625" style="6" bestFit="1" customWidth="1"/>
    <col min="10939" max="10939" width="17.33203125" style="6" bestFit="1" customWidth="1"/>
    <col min="10940" max="10940" width="16" style="6" bestFit="1" customWidth="1"/>
    <col min="10941" max="10941" width="17" style="6" customWidth="1"/>
    <col min="10942" max="10942" width="2" style="6" customWidth="1"/>
    <col min="10943" max="10943" width="16.33203125" style="6" bestFit="1" customWidth="1"/>
    <col min="10944" max="10944" width="18.88671875" style="6" bestFit="1" customWidth="1"/>
    <col min="10945" max="10945" width="16" style="6" bestFit="1" customWidth="1"/>
    <col min="10946" max="10946" width="16.33203125" style="6" bestFit="1" customWidth="1"/>
    <col min="10947" max="10947" width="15" style="6" bestFit="1" customWidth="1"/>
    <col min="10948" max="10948" width="2" style="6" customWidth="1"/>
    <col min="10949" max="10950" width="17" style="6" bestFit="1" customWidth="1"/>
    <col min="10951" max="10951" width="17.33203125" style="6" bestFit="1" customWidth="1"/>
    <col min="10952" max="10952" width="16" style="6" bestFit="1" customWidth="1"/>
    <col min="10953" max="10953" width="17" style="6" bestFit="1" customWidth="1"/>
    <col min="10954" max="10954" width="2.33203125" style="6" customWidth="1"/>
    <col min="10955" max="10955" width="17" style="6" customWidth="1"/>
    <col min="10956" max="10956" width="17" style="6" bestFit="1" customWidth="1"/>
    <col min="10957" max="10957" width="17.33203125" style="6" bestFit="1" customWidth="1"/>
    <col min="10958" max="10958" width="16" style="6" bestFit="1" customWidth="1"/>
    <col min="10959" max="10959" width="17" style="6" bestFit="1" customWidth="1"/>
    <col min="10960" max="10960" width="3" style="6" customWidth="1"/>
    <col min="10961" max="10961" width="16" style="6" bestFit="1" customWidth="1"/>
    <col min="10962" max="10962" width="17" style="6" bestFit="1" customWidth="1"/>
    <col min="10963" max="10963" width="17.33203125" style="6" bestFit="1" customWidth="1"/>
    <col min="10964" max="10964" width="16" style="6" bestFit="1" customWidth="1"/>
    <col min="10965" max="10965" width="17" style="6" bestFit="1" customWidth="1"/>
    <col min="10966" max="10966" width="3" style="6" customWidth="1"/>
    <col min="10967" max="10968" width="17.88671875" style="6" bestFit="1" customWidth="1"/>
    <col min="10969" max="10969" width="17.33203125" style="6" bestFit="1" customWidth="1"/>
    <col min="10970" max="10970" width="17.88671875" style="6" bestFit="1" customWidth="1"/>
    <col min="10971" max="10971" width="17" style="6" bestFit="1" customWidth="1"/>
    <col min="10972" max="10972" width="17.6640625" style="6" bestFit="1" customWidth="1"/>
    <col min="10973" max="10973" width="2" style="6" customWidth="1"/>
    <col min="10974" max="10974" width="19.88671875" style="6" bestFit="1" customWidth="1"/>
    <col min="10975" max="10975" width="18.88671875" style="6" bestFit="1" customWidth="1"/>
    <col min="10976" max="10976" width="19.5546875" style="6" bestFit="1" customWidth="1"/>
    <col min="10977" max="11148" width="11.44140625" style="6"/>
    <col min="11149" max="11149" width="18.6640625" style="6" customWidth="1"/>
    <col min="11150" max="11150" width="38.5546875" style="6" customWidth="1"/>
    <col min="11151" max="11151" width="21.5546875" style="6" bestFit="1" customWidth="1"/>
    <col min="11152" max="11152" width="20.44140625" style="6" bestFit="1" customWidth="1"/>
    <col min="11153" max="11153" width="17.33203125" style="6" bestFit="1" customWidth="1"/>
    <col min="11154" max="11154" width="18.33203125" style="6" bestFit="1" customWidth="1"/>
    <col min="11155" max="11155" width="17.44140625" style="6" bestFit="1" customWidth="1"/>
    <col min="11156" max="11156" width="1.44140625" style="6" customWidth="1"/>
    <col min="11157" max="11157" width="17.33203125" style="6" customWidth="1"/>
    <col min="11158" max="11158" width="17.88671875" style="6" bestFit="1" customWidth="1"/>
    <col min="11159" max="11159" width="17.33203125" style="6" customWidth="1"/>
    <col min="11160" max="11160" width="17.88671875" style="6" bestFit="1" customWidth="1"/>
    <col min="11161" max="11161" width="17" style="6" bestFit="1" customWidth="1"/>
    <col min="11162" max="11162" width="1.6640625" style="6" customWidth="1"/>
    <col min="11163" max="11163" width="17.33203125" style="6" bestFit="1" customWidth="1"/>
    <col min="11164" max="11164" width="17.88671875" style="6" bestFit="1" customWidth="1"/>
    <col min="11165" max="11165" width="17.33203125" style="6" bestFit="1" customWidth="1"/>
    <col min="11166" max="11166" width="17.88671875" style="6" bestFit="1" customWidth="1"/>
    <col min="11167" max="11167" width="17" style="6" bestFit="1" customWidth="1"/>
    <col min="11168" max="11168" width="2" style="6" customWidth="1"/>
    <col min="11169" max="11170" width="17" style="6" bestFit="1" customWidth="1"/>
    <col min="11171" max="11171" width="17.33203125" style="6" bestFit="1" customWidth="1"/>
    <col min="11172" max="11172" width="16" style="6" customWidth="1"/>
    <col min="11173" max="11173" width="17" style="6" bestFit="1" customWidth="1"/>
    <col min="11174" max="11174" width="2" style="6" customWidth="1"/>
    <col min="11175" max="11176" width="17" style="6" bestFit="1" customWidth="1"/>
    <col min="11177" max="11177" width="17.33203125" style="6" bestFit="1" customWidth="1"/>
    <col min="11178" max="11178" width="16" style="6" customWidth="1"/>
    <col min="11179" max="11179" width="17" style="6" bestFit="1" customWidth="1"/>
    <col min="11180" max="11180" width="2" style="6" customWidth="1"/>
    <col min="11181" max="11181" width="17" style="6" bestFit="1" customWidth="1"/>
    <col min="11182" max="11182" width="25.5546875" style="6" customWidth="1"/>
    <col min="11183" max="11183" width="19.109375" style="6" customWidth="1"/>
    <col min="11184" max="11184" width="16" style="6" customWidth="1"/>
    <col min="11185" max="11185" width="17" style="6" bestFit="1" customWidth="1"/>
    <col min="11186" max="11186" width="2" style="6" customWidth="1"/>
    <col min="11187" max="11187" width="16" style="6" bestFit="1" customWidth="1"/>
    <col min="11188" max="11188" width="16.33203125" style="6" bestFit="1" customWidth="1"/>
    <col min="11189" max="11189" width="15.6640625" style="6" bestFit="1" customWidth="1"/>
    <col min="11190" max="11190" width="16.33203125" style="6" bestFit="1" customWidth="1"/>
    <col min="11191" max="11191" width="15" style="6" bestFit="1" customWidth="1"/>
    <col min="11192" max="11192" width="2" style="6" customWidth="1"/>
    <col min="11193" max="11193" width="17" style="6" bestFit="1" customWidth="1"/>
    <col min="11194" max="11194" width="16.6640625" style="6" bestFit="1" customWidth="1"/>
    <col min="11195" max="11195" width="17.33203125" style="6" bestFit="1" customWidth="1"/>
    <col min="11196" max="11196" width="16" style="6" bestFit="1" customWidth="1"/>
    <col min="11197" max="11197" width="17" style="6" customWidth="1"/>
    <col min="11198" max="11198" width="2" style="6" customWidth="1"/>
    <col min="11199" max="11199" width="16.33203125" style="6" bestFit="1" customWidth="1"/>
    <col min="11200" max="11200" width="18.88671875" style="6" bestFit="1" customWidth="1"/>
    <col min="11201" max="11201" width="16" style="6" bestFit="1" customWidth="1"/>
    <col min="11202" max="11202" width="16.33203125" style="6" bestFit="1" customWidth="1"/>
    <col min="11203" max="11203" width="15" style="6" bestFit="1" customWidth="1"/>
    <col min="11204" max="11204" width="2" style="6" customWidth="1"/>
    <col min="11205" max="11206" width="17" style="6" bestFit="1" customWidth="1"/>
    <col min="11207" max="11207" width="17.33203125" style="6" bestFit="1" customWidth="1"/>
    <col min="11208" max="11208" width="16" style="6" bestFit="1" customWidth="1"/>
    <col min="11209" max="11209" width="17" style="6" bestFit="1" customWidth="1"/>
    <col min="11210" max="11210" width="2.33203125" style="6" customWidth="1"/>
    <col min="11211" max="11211" width="17" style="6" customWidth="1"/>
    <col min="11212" max="11212" width="17" style="6" bestFit="1" customWidth="1"/>
    <col min="11213" max="11213" width="17.33203125" style="6" bestFit="1" customWidth="1"/>
    <col min="11214" max="11214" width="16" style="6" bestFit="1" customWidth="1"/>
    <col min="11215" max="11215" width="17" style="6" bestFit="1" customWidth="1"/>
    <col min="11216" max="11216" width="3" style="6" customWidth="1"/>
    <col min="11217" max="11217" width="16" style="6" bestFit="1" customWidth="1"/>
    <col min="11218" max="11218" width="17" style="6" bestFit="1" customWidth="1"/>
    <col min="11219" max="11219" width="17.33203125" style="6" bestFit="1" customWidth="1"/>
    <col min="11220" max="11220" width="16" style="6" bestFit="1" customWidth="1"/>
    <col min="11221" max="11221" width="17" style="6" bestFit="1" customWidth="1"/>
    <col min="11222" max="11222" width="3" style="6" customWidth="1"/>
    <col min="11223" max="11224" width="17.88671875" style="6" bestFit="1" customWidth="1"/>
    <col min="11225" max="11225" width="17.33203125" style="6" bestFit="1" customWidth="1"/>
    <col min="11226" max="11226" width="17.88671875" style="6" bestFit="1" customWidth="1"/>
    <col min="11227" max="11227" width="17" style="6" bestFit="1" customWidth="1"/>
    <col min="11228" max="11228" width="17.6640625" style="6" bestFit="1" customWidth="1"/>
    <col min="11229" max="11229" width="2" style="6" customWidth="1"/>
    <col min="11230" max="11230" width="19.88671875" style="6" bestFit="1" customWidth="1"/>
    <col min="11231" max="11231" width="18.88671875" style="6" bestFit="1" customWidth="1"/>
    <col min="11232" max="11232" width="19.5546875" style="6" bestFit="1" customWidth="1"/>
    <col min="11233" max="11404" width="11.44140625" style="6"/>
    <col min="11405" max="11405" width="18.6640625" style="6" customWidth="1"/>
    <col min="11406" max="11406" width="38.5546875" style="6" customWidth="1"/>
    <col min="11407" max="11407" width="21.5546875" style="6" bestFit="1" customWidth="1"/>
    <col min="11408" max="11408" width="20.44140625" style="6" bestFit="1" customWidth="1"/>
    <col min="11409" max="11409" width="17.33203125" style="6" bestFit="1" customWidth="1"/>
    <col min="11410" max="11410" width="18.33203125" style="6" bestFit="1" customWidth="1"/>
    <col min="11411" max="11411" width="17.44140625" style="6" bestFit="1" customWidth="1"/>
    <col min="11412" max="11412" width="1.44140625" style="6" customWidth="1"/>
    <col min="11413" max="11413" width="17.33203125" style="6" customWidth="1"/>
    <col min="11414" max="11414" width="17.88671875" style="6" bestFit="1" customWidth="1"/>
    <col min="11415" max="11415" width="17.33203125" style="6" customWidth="1"/>
    <col min="11416" max="11416" width="17.88671875" style="6" bestFit="1" customWidth="1"/>
    <col min="11417" max="11417" width="17" style="6" bestFit="1" customWidth="1"/>
    <col min="11418" max="11418" width="1.6640625" style="6" customWidth="1"/>
    <col min="11419" max="11419" width="17.33203125" style="6" bestFit="1" customWidth="1"/>
    <col min="11420" max="11420" width="17.88671875" style="6" bestFit="1" customWidth="1"/>
    <col min="11421" max="11421" width="17.33203125" style="6" bestFit="1" customWidth="1"/>
    <col min="11422" max="11422" width="17.88671875" style="6" bestFit="1" customWidth="1"/>
    <col min="11423" max="11423" width="17" style="6" bestFit="1" customWidth="1"/>
    <col min="11424" max="11424" width="2" style="6" customWidth="1"/>
    <col min="11425" max="11426" width="17" style="6" bestFit="1" customWidth="1"/>
    <col min="11427" max="11427" width="17.33203125" style="6" bestFit="1" customWidth="1"/>
    <col min="11428" max="11428" width="16" style="6" customWidth="1"/>
    <col min="11429" max="11429" width="17" style="6" bestFit="1" customWidth="1"/>
    <col min="11430" max="11430" width="2" style="6" customWidth="1"/>
    <col min="11431" max="11432" width="17" style="6" bestFit="1" customWidth="1"/>
    <col min="11433" max="11433" width="17.33203125" style="6" bestFit="1" customWidth="1"/>
    <col min="11434" max="11434" width="16" style="6" customWidth="1"/>
    <col min="11435" max="11435" width="17" style="6" bestFit="1" customWidth="1"/>
    <col min="11436" max="11436" width="2" style="6" customWidth="1"/>
    <col min="11437" max="11437" width="17" style="6" bestFit="1" customWidth="1"/>
    <col min="11438" max="11438" width="25.5546875" style="6" customWidth="1"/>
    <col min="11439" max="11439" width="19.109375" style="6" customWidth="1"/>
    <col min="11440" max="11440" width="16" style="6" customWidth="1"/>
    <col min="11441" max="11441" width="17" style="6" bestFit="1" customWidth="1"/>
    <col min="11442" max="11442" width="2" style="6" customWidth="1"/>
    <col min="11443" max="11443" width="16" style="6" bestFit="1" customWidth="1"/>
    <col min="11444" max="11444" width="16.33203125" style="6" bestFit="1" customWidth="1"/>
    <col min="11445" max="11445" width="15.6640625" style="6" bestFit="1" customWidth="1"/>
    <col min="11446" max="11446" width="16.33203125" style="6" bestFit="1" customWidth="1"/>
    <col min="11447" max="11447" width="15" style="6" bestFit="1" customWidth="1"/>
    <col min="11448" max="11448" width="2" style="6" customWidth="1"/>
    <col min="11449" max="11449" width="17" style="6" bestFit="1" customWidth="1"/>
    <col min="11450" max="11450" width="16.6640625" style="6" bestFit="1" customWidth="1"/>
    <col min="11451" max="11451" width="17.33203125" style="6" bestFit="1" customWidth="1"/>
    <col min="11452" max="11452" width="16" style="6" bestFit="1" customWidth="1"/>
    <col min="11453" max="11453" width="17" style="6" customWidth="1"/>
    <col min="11454" max="11454" width="2" style="6" customWidth="1"/>
    <col min="11455" max="11455" width="16.33203125" style="6" bestFit="1" customWidth="1"/>
    <col min="11456" max="11456" width="18.88671875" style="6" bestFit="1" customWidth="1"/>
    <col min="11457" max="11457" width="16" style="6" bestFit="1" customWidth="1"/>
    <col min="11458" max="11458" width="16.33203125" style="6" bestFit="1" customWidth="1"/>
    <col min="11459" max="11459" width="15" style="6" bestFit="1" customWidth="1"/>
    <col min="11460" max="11460" width="2" style="6" customWidth="1"/>
    <col min="11461" max="11462" width="17" style="6" bestFit="1" customWidth="1"/>
    <col min="11463" max="11463" width="17.33203125" style="6" bestFit="1" customWidth="1"/>
    <col min="11464" max="11464" width="16" style="6" bestFit="1" customWidth="1"/>
    <col min="11465" max="11465" width="17" style="6" bestFit="1" customWidth="1"/>
    <col min="11466" max="11466" width="2.33203125" style="6" customWidth="1"/>
    <col min="11467" max="11467" width="17" style="6" customWidth="1"/>
    <col min="11468" max="11468" width="17" style="6" bestFit="1" customWidth="1"/>
    <col min="11469" max="11469" width="17.33203125" style="6" bestFit="1" customWidth="1"/>
    <col min="11470" max="11470" width="16" style="6" bestFit="1" customWidth="1"/>
    <col min="11471" max="11471" width="17" style="6" bestFit="1" customWidth="1"/>
    <col min="11472" max="11472" width="3" style="6" customWidth="1"/>
    <col min="11473" max="11473" width="16" style="6" bestFit="1" customWidth="1"/>
    <col min="11474" max="11474" width="17" style="6" bestFit="1" customWidth="1"/>
    <col min="11475" max="11475" width="17.33203125" style="6" bestFit="1" customWidth="1"/>
    <col min="11476" max="11476" width="16" style="6" bestFit="1" customWidth="1"/>
    <col min="11477" max="11477" width="17" style="6" bestFit="1" customWidth="1"/>
    <col min="11478" max="11478" width="3" style="6" customWidth="1"/>
    <col min="11479" max="11480" width="17.88671875" style="6" bestFit="1" customWidth="1"/>
    <col min="11481" max="11481" width="17.33203125" style="6" bestFit="1" customWidth="1"/>
    <col min="11482" max="11482" width="17.88671875" style="6" bestFit="1" customWidth="1"/>
    <col min="11483" max="11483" width="17" style="6" bestFit="1" customWidth="1"/>
    <col min="11484" max="11484" width="17.6640625" style="6" bestFit="1" customWidth="1"/>
    <col min="11485" max="11485" width="2" style="6" customWidth="1"/>
    <col min="11486" max="11486" width="19.88671875" style="6" bestFit="1" customWidth="1"/>
    <col min="11487" max="11487" width="18.88671875" style="6" bestFit="1" customWidth="1"/>
    <col min="11488" max="11488" width="19.5546875" style="6" bestFit="1" customWidth="1"/>
    <col min="11489" max="11660" width="11.44140625" style="6"/>
    <col min="11661" max="11661" width="18.6640625" style="6" customWidth="1"/>
    <col min="11662" max="11662" width="38.5546875" style="6" customWidth="1"/>
    <col min="11663" max="11663" width="21.5546875" style="6" bestFit="1" customWidth="1"/>
    <col min="11664" max="11664" width="20.44140625" style="6" bestFit="1" customWidth="1"/>
    <col min="11665" max="11665" width="17.33203125" style="6" bestFit="1" customWidth="1"/>
    <col min="11666" max="11666" width="18.33203125" style="6" bestFit="1" customWidth="1"/>
    <col min="11667" max="11667" width="17.44140625" style="6" bestFit="1" customWidth="1"/>
    <col min="11668" max="11668" width="1.44140625" style="6" customWidth="1"/>
    <col min="11669" max="11669" width="17.33203125" style="6" customWidth="1"/>
    <col min="11670" max="11670" width="17.88671875" style="6" bestFit="1" customWidth="1"/>
    <col min="11671" max="11671" width="17.33203125" style="6" customWidth="1"/>
    <col min="11672" max="11672" width="17.88671875" style="6" bestFit="1" customWidth="1"/>
    <col min="11673" max="11673" width="17" style="6" bestFit="1" customWidth="1"/>
    <col min="11674" max="11674" width="1.6640625" style="6" customWidth="1"/>
    <col min="11675" max="11675" width="17.33203125" style="6" bestFit="1" customWidth="1"/>
    <col min="11676" max="11676" width="17.88671875" style="6" bestFit="1" customWidth="1"/>
    <col min="11677" max="11677" width="17.33203125" style="6" bestFit="1" customWidth="1"/>
    <col min="11678" max="11678" width="17.88671875" style="6" bestFit="1" customWidth="1"/>
    <col min="11679" max="11679" width="17" style="6" bestFit="1" customWidth="1"/>
    <col min="11680" max="11680" width="2" style="6" customWidth="1"/>
    <col min="11681" max="11682" width="17" style="6" bestFit="1" customWidth="1"/>
    <col min="11683" max="11683" width="17.33203125" style="6" bestFit="1" customWidth="1"/>
    <col min="11684" max="11684" width="16" style="6" customWidth="1"/>
    <col min="11685" max="11685" width="17" style="6" bestFit="1" customWidth="1"/>
    <col min="11686" max="11686" width="2" style="6" customWidth="1"/>
    <col min="11687" max="11688" width="17" style="6" bestFit="1" customWidth="1"/>
    <col min="11689" max="11689" width="17.33203125" style="6" bestFit="1" customWidth="1"/>
    <col min="11690" max="11690" width="16" style="6" customWidth="1"/>
    <col min="11691" max="11691" width="17" style="6" bestFit="1" customWidth="1"/>
    <col min="11692" max="11692" width="2" style="6" customWidth="1"/>
    <col min="11693" max="11693" width="17" style="6" bestFit="1" customWidth="1"/>
    <col min="11694" max="11694" width="25.5546875" style="6" customWidth="1"/>
    <col min="11695" max="11695" width="19.109375" style="6" customWidth="1"/>
    <col min="11696" max="11696" width="16" style="6" customWidth="1"/>
    <col min="11697" max="11697" width="17" style="6" bestFit="1" customWidth="1"/>
    <col min="11698" max="11698" width="2" style="6" customWidth="1"/>
    <col min="11699" max="11699" width="16" style="6" bestFit="1" customWidth="1"/>
    <col min="11700" max="11700" width="16.33203125" style="6" bestFit="1" customWidth="1"/>
    <col min="11701" max="11701" width="15.6640625" style="6" bestFit="1" customWidth="1"/>
    <col min="11702" max="11702" width="16.33203125" style="6" bestFit="1" customWidth="1"/>
    <col min="11703" max="11703" width="15" style="6" bestFit="1" customWidth="1"/>
    <col min="11704" max="11704" width="2" style="6" customWidth="1"/>
    <col min="11705" max="11705" width="17" style="6" bestFit="1" customWidth="1"/>
    <col min="11706" max="11706" width="16.6640625" style="6" bestFit="1" customWidth="1"/>
    <col min="11707" max="11707" width="17.33203125" style="6" bestFit="1" customWidth="1"/>
    <col min="11708" max="11708" width="16" style="6" bestFit="1" customWidth="1"/>
    <col min="11709" max="11709" width="17" style="6" customWidth="1"/>
    <col min="11710" max="11710" width="2" style="6" customWidth="1"/>
    <col min="11711" max="11711" width="16.33203125" style="6" bestFit="1" customWidth="1"/>
    <col min="11712" max="11712" width="18.88671875" style="6" bestFit="1" customWidth="1"/>
    <col min="11713" max="11713" width="16" style="6" bestFit="1" customWidth="1"/>
    <col min="11714" max="11714" width="16.33203125" style="6" bestFit="1" customWidth="1"/>
    <col min="11715" max="11715" width="15" style="6" bestFit="1" customWidth="1"/>
    <col min="11716" max="11716" width="2" style="6" customWidth="1"/>
    <col min="11717" max="11718" width="17" style="6" bestFit="1" customWidth="1"/>
    <col min="11719" max="11719" width="17.33203125" style="6" bestFit="1" customWidth="1"/>
    <col min="11720" max="11720" width="16" style="6" bestFit="1" customWidth="1"/>
    <col min="11721" max="11721" width="17" style="6" bestFit="1" customWidth="1"/>
    <col min="11722" max="11722" width="2.33203125" style="6" customWidth="1"/>
    <col min="11723" max="11723" width="17" style="6" customWidth="1"/>
    <col min="11724" max="11724" width="17" style="6" bestFit="1" customWidth="1"/>
    <col min="11725" max="11725" width="17.33203125" style="6" bestFit="1" customWidth="1"/>
    <col min="11726" max="11726" width="16" style="6" bestFit="1" customWidth="1"/>
    <col min="11727" max="11727" width="17" style="6" bestFit="1" customWidth="1"/>
    <col min="11728" max="11728" width="3" style="6" customWidth="1"/>
    <col min="11729" max="11729" width="16" style="6" bestFit="1" customWidth="1"/>
    <col min="11730" max="11730" width="17" style="6" bestFit="1" customWidth="1"/>
    <col min="11731" max="11731" width="17.33203125" style="6" bestFit="1" customWidth="1"/>
    <col min="11732" max="11732" width="16" style="6" bestFit="1" customWidth="1"/>
    <col min="11733" max="11733" width="17" style="6" bestFit="1" customWidth="1"/>
    <col min="11734" max="11734" width="3" style="6" customWidth="1"/>
    <col min="11735" max="11736" width="17.88671875" style="6" bestFit="1" customWidth="1"/>
    <col min="11737" max="11737" width="17.33203125" style="6" bestFit="1" customWidth="1"/>
    <col min="11738" max="11738" width="17.88671875" style="6" bestFit="1" customWidth="1"/>
    <col min="11739" max="11739" width="17" style="6" bestFit="1" customWidth="1"/>
    <col min="11740" max="11740" width="17.6640625" style="6" bestFit="1" customWidth="1"/>
    <col min="11741" max="11741" width="2" style="6" customWidth="1"/>
    <col min="11742" max="11742" width="19.88671875" style="6" bestFit="1" customWidth="1"/>
    <col min="11743" max="11743" width="18.88671875" style="6" bestFit="1" customWidth="1"/>
    <col min="11744" max="11744" width="19.5546875" style="6" bestFit="1" customWidth="1"/>
    <col min="11745" max="11916" width="11.44140625" style="6"/>
    <col min="11917" max="11917" width="18.6640625" style="6" customWidth="1"/>
    <col min="11918" max="11918" width="38.5546875" style="6" customWidth="1"/>
    <col min="11919" max="11919" width="21.5546875" style="6" bestFit="1" customWidth="1"/>
    <col min="11920" max="11920" width="20.44140625" style="6" bestFit="1" customWidth="1"/>
    <col min="11921" max="11921" width="17.33203125" style="6" bestFit="1" customWidth="1"/>
    <col min="11922" max="11922" width="18.33203125" style="6" bestFit="1" customWidth="1"/>
    <col min="11923" max="11923" width="17.44140625" style="6" bestFit="1" customWidth="1"/>
    <col min="11924" max="11924" width="1.44140625" style="6" customWidth="1"/>
    <col min="11925" max="11925" width="17.33203125" style="6" customWidth="1"/>
    <col min="11926" max="11926" width="17.88671875" style="6" bestFit="1" customWidth="1"/>
    <col min="11927" max="11927" width="17.33203125" style="6" customWidth="1"/>
    <col min="11928" max="11928" width="17.88671875" style="6" bestFit="1" customWidth="1"/>
    <col min="11929" max="11929" width="17" style="6" bestFit="1" customWidth="1"/>
    <col min="11930" max="11930" width="1.6640625" style="6" customWidth="1"/>
    <col min="11931" max="11931" width="17.33203125" style="6" bestFit="1" customWidth="1"/>
    <col min="11932" max="11932" width="17.88671875" style="6" bestFit="1" customWidth="1"/>
    <col min="11933" max="11933" width="17.33203125" style="6" bestFit="1" customWidth="1"/>
    <col min="11934" max="11934" width="17.88671875" style="6" bestFit="1" customWidth="1"/>
    <col min="11935" max="11935" width="17" style="6" bestFit="1" customWidth="1"/>
    <col min="11936" max="11936" width="2" style="6" customWidth="1"/>
    <col min="11937" max="11938" width="17" style="6" bestFit="1" customWidth="1"/>
    <col min="11939" max="11939" width="17.33203125" style="6" bestFit="1" customWidth="1"/>
    <col min="11940" max="11940" width="16" style="6" customWidth="1"/>
    <col min="11941" max="11941" width="17" style="6" bestFit="1" customWidth="1"/>
    <col min="11942" max="11942" width="2" style="6" customWidth="1"/>
    <col min="11943" max="11944" width="17" style="6" bestFit="1" customWidth="1"/>
    <col min="11945" max="11945" width="17.33203125" style="6" bestFit="1" customWidth="1"/>
    <col min="11946" max="11946" width="16" style="6" customWidth="1"/>
    <col min="11947" max="11947" width="17" style="6" bestFit="1" customWidth="1"/>
    <col min="11948" max="11948" width="2" style="6" customWidth="1"/>
    <col min="11949" max="11949" width="17" style="6" bestFit="1" customWidth="1"/>
    <col min="11950" max="11950" width="25.5546875" style="6" customWidth="1"/>
    <col min="11951" max="11951" width="19.109375" style="6" customWidth="1"/>
    <col min="11952" max="11952" width="16" style="6" customWidth="1"/>
    <col min="11953" max="11953" width="17" style="6" bestFit="1" customWidth="1"/>
    <col min="11954" max="11954" width="2" style="6" customWidth="1"/>
    <col min="11955" max="11955" width="16" style="6" bestFit="1" customWidth="1"/>
    <col min="11956" max="11956" width="16.33203125" style="6" bestFit="1" customWidth="1"/>
    <col min="11957" max="11957" width="15.6640625" style="6" bestFit="1" customWidth="1"/>
    <col min="11958" max="11958" width="16.33203125" style="6" bestFit="1" customWidth="1"/>
    <col min="11959" max="11959" width="15" style="6" bestFit="1" customWidth="1"/>
    <col min="11960" max="11960" width="2" style="6" customWidth="1"/>
    <col min="11961" max="11961" width="17" style="6" bestFit="1" customWidth="1"/>
    <col min="11962" max="11962" width="16.6640625" style="6" bestFit="1" customWidth="1"/>
    <col min="11963" max="11963" width="17.33203125" style="6" bestFit="1" customWidth="1"/>
    <col min="11964" max="11964" width="16" style="6" bestFit="1" customWidth="1"/>
    <col min="11965" max="11965" width="17" style="6" customWidth="1"/>
    <col min="11966" max="11966" width="2" style="6" customWidth="1"/>
    <col min="11967" max="11967" width="16.33203125" style="6" bestFit="1" customWidth="1"/>
    <col min="11968" max="11968" width="18.88671875" style="6" bestFit="1" customWidth="1"/>
    <col min="11969" max="11969" width="16" style="6" bestFit="1" customWidth="1"/>
    <col min="11970" max="11970" width="16.33203125" style="6" bestFit="1" customWidth="1"/>
    <col min="11971" max="11971" width="15" style="6" bestFit="1" customWidth="1"/>
    <col min="11972" max="11972" width="2" style="6" customWidth="1"/>
    <col min="11973" max="11974" width="17" style="6" bestFit="1" customWidth="1"/>
    <col min="11975" max="11975" width="17.33203125" style="6" bestFit="1" customWidth="1"/>
    <col min="11976" max="11976" width="16" style="6" bestFit="1" customWidth="1"/>
    <col min="11977" max="11977" width="17" style="6" bestFit="1" customWidth="1"/>
    <col min="11978" max="11978" width="2.33203125" style="6" customWidth="1"/>
    <col min="11979" max="11979" width="17" style="6" customWidth="1"/>
    <col min="11980" max="11980" width="17" style="6" bestFit="1" customWidth="1"/>
    <col min="11981" max="11981" width="17.33203125" style="6" bestFit="1" customWidth="1"/>
    <col min="11982" max="11982" width="16" style="6" bestFit="1" customWidth="1"/>
    <col min="11983" max="11983" width="17" style="6" bestFit="1" customWidth="1"/>
    <col min="11984" max="11984" width="3" style="6" customWidth="1"/>
    <col min="11985" max="11985" width="16" style="6" bestFit="1" customWidth="1"/>
    <col min="11986" max="11986" width="17" style="6" bestFit="1" customWidth="1"/>
    <col min="11987" max="11987" width="17.33203125" style="6" bestFit="1" customWidth="1"/>
    <col min="11988" max="11988" width="16" style="6" bestFit="1" customWidth="1"/>
    <col min="11989" max="11989" width="17" style="6" bestFit="1" customWidth="1"/>
    <col min="11990" max="11990" width="3" style="6" customWidth="1"/>
    <col min="11991" max="11992" width="17.88671875" style="6" bestFit="1" customWidth="1"/>
    <col min="11993" max="11993" width="17.33203125" style="6" bestFit="1" customWidth="1"/>
    <col min="11994" max="11994" width="17.88671875" style="6" bestFit="1" customWidth="1"/>
    <col min="11995" max="11995" width="17" style="6" bestFit="1" customWidth="1"/>
    <col min="11996" max="11996" width="17.6640625" style="6" bestFit="1" customWidth="1"/>
    <col min="11997" max="11997" width="2" style="6" customWidth="1"/>
    <col min="11998" max="11998" width="19.88671875" style="6" bestFit="1" customWidth="1"/>
    <col min="11999" max="11999" width="18.88671875" style="6" bestFit="1" customWidth="1"/>
    <col min="12000" max="12000" width="19.5546875" style="6" bestFit="1" customWidth="1"/>
    <col min="12001" max="12172" width="11.44140625" style="6"/>
    <col min="12173" max="12173" width="18.6640625" style="6" customWidth="1"/>
    <col min="12174" max="12174" width="38.5546875" style="6" customWidth="1"/>
    <col min="12175" max="12175" width="21.5546875" style="6" bestFit="1" customWidth="1"/>
    <col min="12176" max="12176" width="20.44140625" style="6" bestFit="1" customWidth="1"/>
    <col min="12177" max="12177" width="17.33203125" style="6" bestFit="1" customWidth="1"/>
    <col min="12178" max="12178" width="18.33203125" style="6" bestFit="1" customWidth="1"/>
    <col min="12179" max="12179" width="17.44140625" style="6" bestFit="1" customWidth="1"/>
    <col min="12180" max="12180" width="1.44140625" style="6" customWidth="1"/>
    <col min="12181" max="12181" width="17.33203125" style="6" customWidth="1"/>
    <col min="12182" max="12182" width="17.88671875" style="6" bestFit="1" customWidth="1"/>
    <col min="12183" max="12183" width="17.33203125" style="6" customWidth="1"/>
    <col min="12184" max="12184" width="17.88671875" style="6" bestFit="1" customWidth="1"/>
    <col min="12185" max="12185" width="17" style="6" bestFit="1" customWidth="1"/>
    <col min="12186" max="12186" width="1.6640625" style="6" customWidth="1"/>
    <col min="12187" max="12187" width="17.33203125" style="6" bestFit="1" customWidth="1"/>
    <col min="12188" max="12188" width="17.88671875" style="6" bestFit="1" customWidth="1"/>
    <col min="12189" max="12189" width="17.33203125" style="6" bestFit="1" customWidth="1"/>
    <col min="12190" max="12190" width="17.88671875" style="6" bestFit="1" customWidth="1"/>
    <col min="12191" max="12191" width="17" style="6" bestFit="1" customWidth="1"/>
    <col min="12192" max="12192" width="2" style="6" customWidth="1"/>
    <col min="12193" max="12194" width="17" style="6" bestFit="1" customWidth="1"/>
    <col min="12195" max="12195" width="17.33203125" style="6" bestFit="1" customWidth="1"/>
    <col min="12196" max="12196" width="16" style="6" customWidth="1"/>
    <col min="12197" max="12197" width="17" style="6" bestFit="1" customWidth="1"/>
    <col min="12198" max="12198" width="2" style="6" customWidth="1"/>
    <col min="12199" max="12200" width="17" style="6" bestFit="1" customWidth="1"/>
    <col min="12201" max="12201" width="17.33203125" style="6" bestFit="1" customWidth="1"/>
    <col min="12202" max="12202" width="16" style="6" customWidth="1"/>
    <col min="12203" max="12203" width="17" style="6" bestFit="1" customWidth="1"/>
    <col min="12204" max="12204" width="2" style="6" customWidth="1"/>
    <col min="12205" max="12205" width="17" style="6" bestFit="1" customWidth="1"/>
    <col min="12206" max="12206" width="25.5546875" style="6" customWidth="1"/>
    <col min="12207" max="12207" width="19.109375" style="6" customWidth="1"/>
    <col min="12208" max="12208" width="16" style="6" customWidth="1"/>
    <col min="12209" max="12209" width="17" style="6" bestFit="1" customWidth="1"/>
    <col min="12210" max="12210" width="2" style="6" customWidth="1"/>
    <col min="12211" max="12211" width="16" style="6" bestFit="1" customWidth="1"/>
    <col min="12212" max="12212" width="16.33203125" style="6" bestFit="1" customWidth="1"/>
    <col min="12213" max="12213" width="15.6640625" style="6" bestFit="1" customWidth="1"/>
    <col min="12214" max="12214" width="16.33203125" style="6" bestFit="1" customWidth="1"/>
    <col min="12215" max="12215" width="15" style="6" bestFit="1" customWidth="1"/>
    <col min="12216" max="12216" width="2" style="6" customWidth="1"/>
    <col min="12217" max="12217" width="17" style="6" bestFit="1" customWidth="1"/>
    <col min="12218" max="12218" width="16.6640625" style="6" bestFit="1" customWidth="1"/>
    <col min="12219" max="12219" width="17.33203125" style="6" bestFit="1" customWidth="1"/>
    <col min="12220" max="12220" width="16" style="6" bestFit="1" customWidth="1"/>
    <col min="12221" max="12221" width="17" style="6" customWidth="1"/>
    <col min="12222" max="12222" width="2" style="6" customWidth="1"/>
    <col min="12223" max="12223" width="16.33203125" style="6" bestFit="1" customWidth="1"/>
    <col min="12224" max="12224" width="18.88671875" style="6" bestFit="1" customWidth="1"/>
    <col min="12225" max="12225" width="16" style="6" bestFit="1" customWidth="1"/>
    <col min="12226" max="12226" width="16.33203125" style="6" bestFit="1" customWidth="1"/>
    <col min="12227" max="12227" width="15" style="6" bestFit="1" customWidth="1"/>
    <col min="12228" max="12228" width="2" style="6" customWidth="1"/>
    <col min="12229" max="12230" width="17" style="6" bestFit="1" customWidth="1"/>
    <col min="12231" max="12231" width="17.33203125" style="6" bestFit="1" customWidth="1"/>
    <col min="12232" max="12232" width="16" style="6" bestFit="1" customWidth="1"/>
    <col min="12233" max="12233" width="17" style="6" bestFit="1" customWidth="1"/>
    <col min="12234" max="12234" width="2.33203125" style="6" customWidth="1"/>
    <col min="12235" max="12235" width="17" style="6" customWidth="1"/>
    <col min="12236" max="12236" width="17" style="6" bestFit="1" customWidth="1"/>
    <col min="12237" max="12237" width="17.33203125" style="6" bestFit="1" customWidth="1"/>
    <col min="12238" max="12238" width="16" style="6" bestFit="1" customWidth="1"/>
    <col min="12239" max="12239" width="17" style="6" bestFit="1" customWidth="1"/>
    <col min="12240" max="12240" width="3" style="6" customWidth="1"/>
    <col min="12241" max="12241" width="16" style="6" bestFit="1" customWidth="1"/>
    <col min="12242" max="12242" width="17" style="6" bestFit="1" customWidth="1"/>
    <col min="12243" max="12243" width="17.33203125" style="6" bestFit="1" customWidth="1"/>
    <col min="12244" max="12244" width="16" style="6" bestFit="1" customWidth="1"/>
    <col min="12245" max="12245" width="17" style="6" bestFit="1" customWidth="1"/>
    <col min="12246" max="12246" width="3" style="6" customWidth="1"/>
    <col min="12247" max="12248" width="17.88671875" style="6" bestFit="1" customWidth="1"/>
    <col min="12249" max="12249" width="17.33203125" style="6" bestFit="1" customWidth="1"/>
    <col min="12250" max="12250" width="17.88671875" style="6" bestFit="1" customWidth="1"/>
    <col min="12251" max="12251" width="17" style="6" bestFit="1" customWidth="1"/>
    <col min="12252" max="12252" width="17.6640625" style="6" bestFit="1" customWidth="1"/>
    <col min="12253" max="12253" width="2" style="6" customWidth="1"/>
    <col min="12254" max="12254" width="19.88671875" style="6" bestFit="1" customWidth="1"/>
    <col min="12255" max="12255" width="18.88671875" style="6" bestFit="1" customWidth="1"/>
    <col min="12256" max="12256" width="19.5546875" style="6" bestFit="1" customWidth="1"/>
    <col min="12257" max="12428" width="11.44140625" style="6"/>
    <col min="12429" max="12429" width="18.6640625" style="6" customWidth="1"/>
    <col min="12430" max="12430" width="38.5546875" style="6" customWidth="1"/>
    <col min="12431" max="12431" width="21.5546875" style="6" bestFit="1" customWidth="1"/>
    <col min="12432" max="12432" width="20.44140625" style="6" bestFit="1" customWidth="1"/>
    <col min="12433" max="12433" width="17.33203125" style="6" bestFit="1" customWidth="1"/>
    <col min="12434" max="12434" width="18.33203125" style="6" bestFit="1" customWidth="1"/>
    <col min="12435" max="12435" width="17.44140625" style="6" bestFit="1" customWidth="1"/>
    <col min="12436" max="12436" width="1.44140625" style="6" customWidth="1"/>
    <col min="12437" max="12437" width="17.33203125" style="6" customWidth="1"/>
    <col min="12438" max="12438" width="17.88671875" style="6" bestFit="1" customWidth="1"/>
    <col min="12439" max="12439" width="17.33203125" style="6" customWidth="1"/>
    <col min="12440" max="12440" width="17.88671875" style="6" bestFit="1" customWidth="1"/>
    <col min="12441" max="12441" width="17" style="6" bestFit="1" customWidth="1"/>
    <col min="12442" max="12442" width="1.6640625" style="6" customWidth="1"/>
    <col min="12443" max="12443" width="17.33203125" style="6" bestFit="1" customWidth="1"/>
    <col min="12444" max="12444" width="17.88671875" style="6" bestFit="1" customWidth="1"/>
    <col min="12445" max="12445" width="17.33203125" style="6" bestFit="1" customWidth="1"/>
    <col min="12446" max="12446" width="17.88671875" style="6" bestFit="1" customWidth="1"/>
    <col min="12447" max="12447" width="17" style="6" bestFit="1" customWidth="1"/>
    <col min="12448" max="12448" width="2" style="6" customWidth="1"/>
    <col min="12449" max="12450" width="17" style="6" bestFit="1" customWidth="1"/>
    <col min="12451" max="12451" width="17.33203125" style="6" bestFit="1" customWidth="1"/>
    <col min="12452" max="12452" width="16" style="6" customWidth="1"/>
    <col min="12453" max="12453" width="17" style="6" bestFit="1" customWidth="1"/>
    <col min="12454" max="12454" width="2" style="6" customWidth="1"/>
    <col min="12455" max="12456" width="17" style="6" bestFit="1" customWidth="1"/>
    <col min="12457" max="12457" width="17.33203125" style="6" bestFit="1" customWidth="1"/>
    <col min="12458" max="12458" width="16" style="6" customWidth="1"/>
    <col min="12459" max="12459" width="17" style="6" bestFit="1" customWidth="1"/>
    <col min="12460" max="12460" width="2" style="6" customWidth="1"/>
    <col min="12461" max="12461" width="17" style="6" bestFit="1" customWidth="1"/>
    <col min="12462" max="12462" width="25.5546875" style="6" customWidth="1"/>
    <col min="12463" max="12463" width="19.109375" style="6" customWidth="1"/>
    <col min="12464" max="12464" width="16" style="6" customWidth="1"/>
    <col min="12465" max="12465" width="17" style="6" bestFit="1" customWidth="1"/>
    <col min="12466" max="12466" width="2" style="6" customWidth="1"/>
    <col min="12467" max="12467" width="16" style="6" bestFit="1" customWidth="1"/>
    <col min="12468" max="12468" width="16.33203125" style="6" bestFit="1" customWidth="1"/>
    <col min="12469" max="12469" width="15.6640625" style="6" bestFit="1" customWidth="1"/>
    <col min="12470" max="12470" width="16.33203125" style="6" bestFit="1" customWidth="1"/>
    <col min="12471" max="12471" width="15" style="6" bestFit="1" customWidth="1"/>
    <col min="12472" max="12472" width="2" style="6" customWidth="1"/>
    <col min="12473" max="12473" width="17" style="6" bestFit="1" customWidth="1"/>
    <col min="12474" max="12474" width="16.6640625" style="6" bestFit="1" customWidth="1"/>
    <col min="12475" max="12475" width="17.33203125" style="6" bestFit="1" customWidth="1"/>
    <col min="12476" max="12476" width="16" style="6" bestFit="1" customWidth="1"/>
    <col min="12477" max="12477" width="17" style="6" customWidth="1"/>
    <col min="12478" max="12478" width="2" style="6" customWidth="1"/>
    <col min="12479" max="12479" width="16.33203125" style="6" bestFit="1" customWidth="1"/>
    <col min="12480" max="12480" width="18.88671875" style="6" bestFit="1" customWidth="1"/>
    <col min="12481" max="12481" width="16" style="6" bestFit="1" customWidth="1"/>
    <col min="12482" max="12482" width="16.33203125" style="6" bestFit="1" customWidth="1"/>
    <col min="12483" max="12483" width="15" style="6" bestFit="1" customWidth="1"/>
    <col min="12484" max="12484" width="2" style="6" customWidth="1"/>
    <col min="12485" max="12486" width="17" style="6" bestFit="1" customWidth="1"/>
    <col min="12487" max="12487" width="17.33203125" style="6" bestFit="1" customWidth="1"/>
    <col min="12488" max="12488" width="16" style="6" bestFit="1" customWidth="1"/>
    <col min="12489" max="12489" width="17" style="6" bestFit="1" customWidth="1"/>
    <col min="12490" max="12490" width="2.33203125" style="6" customWidth="1"/>
    <col min="12491" max="12491" width="17" style="6" customWidth="1"/>
    <col min="12492" max="12492" width="17" style="6" bestFit="1" customWidth="1"/>
    <col min="12493" max="12493" width="17.33203125" style="6" bestFit="1" customWidth="1"/>
    <col min="12494" max="12494" width="16" style="6" bestFit="1" customWidth="1"/>
    <col min="12495" max="12495" width="17" style="6" bestFit="1" customWidth="1"/>
    <col min="12496" max="12496" width="3" style="6" customWidth="1"/>
    <col min="12497" max="12497" width="16" style="6" bestFit="1" customWidth="1"/>
    <col min="12498" max="12498" width="17" style="6" bestFit="1" customWidth="1"/>
    <col min="12499" max="12499" width="17.33203125" style="6" bestFit="1" customWidth="1"/>
    <col min="12500" max="12500" width="16" style="6" bestFit="1" customWidth="1"/>
    <col min="12501" max="12501" width="17" style="6" bestFit="1" customWidth="1"/>
    <col min="12502" max="12502" width="3" style="6" customWidth="1"/>
    <col min="12503" max="12504" width="17.88671875" style="6" bestFit="1" customWidth="1"/>
    <col min="12505" max="12505" width="17.33203125" style="6" bestFit="1" customWidth="1"/>
    <col min="12506" max="12506" width="17.88671875" style="6" bestFit="1" customWidth="1"/>
    <col min="12507" max="12507" width="17" style="6" bestFit="1" customWidth="1"/>
    <col min="12508" max="12508" width="17.6640625" style="6" bestFit="1" customWidth="1"/>
    <col min="12509" max="12509" width="2" style="6" customWidth="1"/>
    <col min="12510" max="12510" width="19.88671875" style="6" bestFit="1" customWidth="1"/>
    <col min="12511" max="12511" width="18.88671875" style="6" bestFit="1" customWidth="1"/>
    <col min="12512" max="12512" width="19.5546875" style="6" bestFit="1" customWidth="1"/>
    <col min="12513" max="12684" width="11.44140625" style="6"/>
    <col min="12685" max="12685" width="18.6640625" style="6" customWidth="1"/>
    <col min="12686" max="12686" width="38.5546875" style="6" customWidth="1"/>
    <col min="12687" max="12687" width="21.5546875" style="6" bestFit="1" customWidth="1"/>
    <col min="12688" max="12688" width="20.44140625" style="6" bestFit="1" customWidth="1"/>
    <col min="12689" max="12689" width="17.33203125" style="6" bestFit="1" customWidth="1"/>
    <col min="12690" max="12690" width="18.33203125" style="6" bestFit="1" customWidth="1"/>
    <col min="12691" max="12691" width="17.44140625" style="6" bestFit="1" customWidth="1"/>
    <col min="12692" max="12692" width="1.44140625" style="6" customWidth="1"/>
    <col min="12693" max="12693" width="17.33203125" style="6" customWidth="1"/>
    <col min="12694" max="12694" width="17.88671875" style="6" bestFit="1" customWidth="1"/>
    <col min="12695" max="12695" width="17.33203125" style="6" customWidth="1"/>
    <col min="12696" max="12696" width="17.88671875" style="6" bestFit="1" customWidth="1"/>
    <col min="12697" max="12697" width="17" style="6" bestFit="1" customWidth="1"/>
    <col min="12698" max="12698" width="1.6640625" style="6" customWidth="1"/>
    <col min="12699" max="12699" width="17.33203125" style="6" bestFit="1" customWidth="1"/>
    <col min="12700" max="12700" width="17.88671875" style="6" bestFit="1" customWidth="1"/>
    <col min="12701" max="12701" width="17.33203125" style="6" bestFit="1" customWidth="1"/>
    <col min="12702" max="12702" width="17.88671875" style="6" bestFit="1" customWidth="1"/>
    <col min="12703" max="12703" width="17" style="6" bestFit="1" customWidth="1"/>
    <col min="12704" max="12704" width="2" style="6" customWidth="1"/>
    <col min="12705" max="12706" width="17" style="6" bestFit="1" customWidth="1"/>
    <col min="12707" max="12707" width="17.33203125" style="6" bestFit="1" customWidth="1"/>
    <col min="12708" max="12708" width="16" style="6" customWidth="1"/>
    <col min="12709" max="12709" width="17" style="6" bestFit="1" customWidth="1"/>
    <col min="12710" max="12710" width="2" style="6" customWidth="1"/>
    <col min="12711" max="12712" width="17" style="6" bestFit="1" customWidth="1"/>
    <col min="12713" max="12713" width="17.33203125" style="6" bestFit="1" customWidth="1"/>
    <col min="12714" max="12714" width="16" style="6" customWidth="1"/>
    <col min="12715" max="12715" width="17" style="6" bestFit="1" customWidth="1"/>
    <col min="12716" max="12716" width="2" style="6" customWidth="1"/>
    <col min="12717" max="12717" width="17" style="6" bestFit="1" customWidth="1"/>
    <col min="12718" max="12718" width="25.5546875" style="6" customWidth="1"/>
    <col min="12719" max="12719" width="19.109375" style="6" customWidth="1"/>
    <col min="12720" max="12720" width="16" style="6" customWidth="1"/>
    <col min="12721" max="12721" width="17" style="6" bestFit="1" customWidth="1"/>
    <col min="12722" max="12722" width="2" style="6" customWidth="1"/>
    <col min="12723" max="12723" width="16" style="6" bestFit="1" customWidth="1"/>
    <col min="12724" max="12724" width="16.33203125" style="6" bestFit="1" customWidth="1"/>
    <col min="12725" max="12725" width="15.6640625" style="6" bestFit="1" customWidth="1"/>
    <col min="12726" max="12726" width="16.33203125" style="6" bestFit="1" customWidth="1"/>
    <col min="12727" max="12727" width="15" style="6" bestFit="1" customWidth="1"/>
    <col min="12728" max="12728" width="2" style="6" customWidth="1"/>
    <col min="12729" max="12729" width="17" style="6" bestFit="1" customWidth="1"/>
    <col min="12730" max="12730" width="16.6640625" style="6" bestFit="1" customWidth="1"/>
    <col min="12731" max="12731" width="17.33203125" style="6" bestFit="1" customWidth="1"/>
    <col min="12732" max="12732" width="16" style="6" bestFit="1" customWidth="1"/>
    <col min="12733" max="12733" width="17" style="6" customWidth="1"/>
    <col min="12734" max="12734" width="2" style="6" customWidth="1"/>
    <col min="12735" max="12735" width="16.33203125" style="6" bestFit="1" customWidth="1"/>
    <col min="12736" max="12736" width="18.88671875" style="6" bestFit="1" customWidth="1"/>
    <col min="12737" max="12737" width="16" style="6" bestFit="1" customWidth="1"/>
    <col min="12738" max="12738" width="16.33203125" style="6" bestFit="1" customWidth="1"/>
    <col min="12739" max="12739" width="15" style="6" bestFit="1" customWidth="1"/>
    <col min="12740" max="12740" width="2" style="6" customWidth="1"/>
    <col min="12741" max="12742" width="17" style="6" bestFit="1" customWidth="1"/>
    <col min="12743" max="12743" width="17.33203125" style="6" bestFit="1" customWidth="1"/>
    <col min="12744" max="12744" width="16" style="6" bestFit="1" customWidth="1"/>
    <col min="12745" max="12745" width="17" style="6" bestFit="1" customWidth="1"/>
    <col min="12746" max="12746" width="2.33203125" style="6" customWidth="1"/>
    <col min="12747" max="12747" width="17" style="6" customWidth="1"/>
    <col min="12748" max="12748" width="17" style="6" bestFit="1" customWidth="1"/>
    <col min="12749" max="12749" width="17.33203125" style="6" bestFit="1" customWidth="1"/>
    <col min="12750" max="12750" width="16" style="6" bestFit="1" customWidth="1"/>
    <col min="12751" max="12751" width="17" style="6" bestFit="1" customWidth="1"/>
    <col min="12752" max="12752" width="3" style="6" customWidth="1"/>
    <col min="12753" max="12753" width="16" style="6" bestFit="1" customWidth="1"/>
    <col min="12754" max="12754" width="17" style="6" bestFit="1" customWidth="1"/>
    <col min="12755" max="12755" width="17.33203125" style="6" bestFit="1" customWidth="1"/>
    <col min="12756" max="12756" width="16" style="6" bestFit="1" customWidth="1"/>
    <col min="12757" max="12757" width="17" style="6" bestFit="1" customWidth="1"/>
    <col min="12758" max="12758" width="3" style="6" customWidth="1"/>
    <col min="12759" max="12760" width="17.88671875" style="6" bestFit="1" customWidth="1"/>
    <col min="12761" max="12761" width="17.33203125" style="6" bestFit="1" customWidth="1"/>
    <col min="12762" max="12762" width="17.88671875" style="6" bestFit="1" customWidth="1"/>
    <col min="12763" max="12763" width="17" style="6" bestFit="1" customWidth="1"/>
    <col min="12764" max="12764" width="17.6640625" style="6" bestFit="1" customWidth="1"/>
    <col min="12765" max="12765" width="2" style="6" customWidth="1"/>
    <col min="12766" max="12766" width="19.88671875" style="6" bestFit="1" customWidth="1"/>
    <col min="12767" max="12767" width="18.88671875" style="6" bestFit="1" customWidth="1"/>
    <col min="12768" max="12768" width="19.5546875" style="6" bestFit="1" customWidth="1"/>
    <col min="12769" max="12940" width="11.44140625" style="6"/>
    <col min="12941" max="12941" width="18.6640625" style="6" customWidth="1"/>
    <col min="12942" max="12942" width="38.5546875" style="6" customWidth="1"/>
    <col min="12943" max="12943" width="21.5546875" style="6" bestFit="1" customWidth="1"/>
    <col min="12944" max="12944" width="20.44140625" style="6" bestFit="1" customWidth="1"/>
    <col min="12945" max="12945" width="17.33203125" style="6" bestFit="1" customWidth="1"/>
    <col min="12946" max="12946" width="18.33203125" style="6" bestFit="1" customWidth="1"/>
    <col min="12947" max="12947" width="17.44140625" style="6" bestFit="1" customWidth="1"/>
    <col min="12948" max="12948" width="1.44140625" style="6" customWidth="1"/>
    <col min="12949" max="12949" width="17.33203125" style="6" customWidth="1"/>
    <col min="12950" max="12950" width="17.88671875" style="6" bestFit="1" customWidth="1"/>
    <col min="12951" max="12951" width="17.33203125" style="6" customWidth="1"/>
    <col min="12952" max="12952" width="17.88671875" style="6" bestFit="1" customWidth="1"/>
    <col min="12953" max="12953" width="17" style="6" bestFit="1" customWidth="1"/>
    <col min="12954" max="12954" width="1.6640625" style="6" customWidth="1"/>
    <col min="12955" max="12955" width="17.33203125" style="6" bestFit="1" customWidth="1"/>
    <col min="12956" max="12956" width="17.88671875" style="6" bestFit="1" customWidth="1"/>
    <col min="12957" max="12957" width="17.33203125" style="6" bestFit="1" customWidth="1"/>
    <col min="12958" max="12958" width="17.88671875" style="6" bestFit="1" customWidth="1"/>
    <col min="12959" max="12959" width="17" style="6" bestFit="1" customWidth="1"/>
    <col min="12960" max="12960" width="2" style="6" customWidth="1"/>
    <col min="12961" max="12962" width="17" style="6" bestFit="1" customWidth="1"/>
    <col min="12963" max="12963" width="17.33203125" style="6" bestFit="1" customWidth="1"/>
    <col min="12964" max="12964" width="16" style="6" customWidth="1"/>
    <col min="12965" max="12965" width="17" style="6" bestFit="1" customWidth="1"/>
    <col min="12966" max="12966" width="2" style="6" customWidth="1"/>
    <col min="12967" max="12968" width="17" style="6" bestFit="1" customWidth="1"/>
    <col min="12969" max="12969" width="17.33203125" style="6" bestFit="1" customWidth="1"/>
    <col min="12970" max="12970" width="16" style="6" customWidth="1"/>
    <col min="12971" max="12971" width="17" style="6" bestFit="1" customWidth="1"/>
    <col min="12972" max="12972" width="2" style="6" customWidth="1"/>
    <col min="12973" max="12973" width="17" style="6" bestFit="1" customWidth="1"/>
    <col min="12974" max="12974" width="25.5546875" style="6" customWidth="1"/>
    <col min="12975" max="12975" width="19.109375" style="6" customWidth="1"/>
    <col min="12976" max="12976" width="16" style="6" customWidth="1"/>
    <col min="12977" max="12977" width="17" style="6" bestFit="1" customWidth="1"/>
    <col min="12978" max="12978" width="2" style="6" customWidth="1"/>
    <col min="12979" max="12979" width="16" style="6" bestFit="1" customWidth="1"/>
    <col min="12980" max="12980" width="16.33203125" style="6" bestFit="1" customWidth="1"/>
    <col min="12981" max="12981" width="15.6640625" style="6" bestFit="1" customWidth="1"/>
    <col min="12982" max="12982" width="16.33203125" style="6" bestFit="1" customWidth="1"/>
    <col min="12983" max="12983" width="15" style="6" bestFit="1" customWidth="1"/>
    <col min="12984" max="12984" width="2" style="6" customWidth="1"/>
    <col min="12985" max="12985" width="17" style="6" bestFit="1" customWidth="1"/>
    <col min="12986" max="12986" width="16.6640625" style="6" bestFit="1" customWidth="1"/>
    <col min="12987" max="12987" width="17.33203125" style="6" bestFit="1" customWidth="1"/>
    <col min="12988" max="12988" width="16" style="6" bestFit="1" customWidth="1"/>
    <col min="12989" max="12989" width="17" style="6" customWidth="1"/>
    <col min="12990" max="12990" width="2" style="6" customWidth="1"/>
    <col min="12991" max="12991" width="16.33203125" style="6" bestFit="1" customWidth="1"/>
    <col min="12992" max="12992" width="18.88671875" style="6" bestFit="1" customWidth="1"/>
    <col min="12993" max="12993" width="16" style="6" bestFit="1" customWidth="1"/>
    <col min="12994" max="12994" width="16.33203125" style="6" bestFit="1" customWidth="1"/>
    <col min="12995" max="12995" width="15" style="6" bestFit="1" customWidth="1"/>
    <col min="12996" max="12996" width="2" style="6" customWidth="1"/>
    <col min="12997" max="12998" width="17" style="6" bestFit="1" customWidth="1"/>
    <col min="12999" max="12999" width="17.33203125" style="6" bestFit="1" customWidth="1"/>
    <col min="13000" max="13000" width="16" style="6" bestFit="1" customWidth="1"/>
    <col min="13001" max="13001" width="17" style="6" bestFit="1" customWidth="1"/>
    <col min="13002" max="13002" width="2.33203125" style="6" customWidth="1"/>
    <col min="13003" max="13003" width="17" style="6" customWidth="1"/>
    <col min="13004" max="13004" width="17" style="6" bestFit="1" customWidth="1"/>
    <col min="13005" max="13005" width="17.33203125" style="6" bestFit="1" customWidth="1"/>
    <col min="13006" max="13006" width="16" style="6" bestFit="1" customWidth="1"/>
    <col min="13007" max="13007" width="17" style="6" bestFit="1" customWidth="1"/>
    <col min="13008" max="13008" width="3" style="6" customWidth="1"/>
    <col min="13009" max="13009" width="16" style="6" bestFit="1" customWidth="1"/>
    <col min="13010" max="13010" width="17" style="6" bestFit="1" customWidth="1"/>
    <col min="13011" max="13011" width="17.33203125" style="6" bestFit="1" customWidth="1"/>
    <col min="13012" max="13012" width="16" style="6" bestFit="1" customWidth="1"/>
    <col min="13013" max="13013" width="17" style="6" bestFit="1" customWidth="1"/>
    <col min="13014" max="13014" width="3" style="6" customWidth="1"/>
    <col min="13015" max="13016" width="17.88671875" style="6" bestFit="1" customWidth="1"/>
    <col min="13017" max="13017" width="17.33203125" style="6" bestFit="1" customWidth="1"/>
    <col min="13018" max="13018" width="17.88671875" style="6" bestFit="1" customWidth="1"/>
    <col min="13019" max="13019" width="17" style="6" bestFit="1" customWidth="1"/>
    <col min="13020" max="13020" width="17.6640625" style="6" bestFit="1" customWidth="1"/>
    <col min="13021" max="13021" width="2" style="6" customWidth="1"/>
    <col min="13022" max="13022" width="19.88671875" style="6" bestFit="1" customWidth="1"/>
    <col min="13023" max="13023" width="18.88671875" style="6" bestFit="1" customWidth="1"/>
    <col min="13024" max="13024" width="19.5546875" style="6" bestFit="1" customWidth="1"/>
    <col min="13025" max="13196" width="11.44140625" style="6"/>
    <col min="13197" max="13197" width="18.6640625" style="6" customWidth="1"/>
    <col min="13198" max="13198" width="38.5546875" style="6" customWidth="1"/>
    <col min="13199" max="13199" width="21.5546875" style="6" bestFit="1" customWidth="1"/>
    <col min="13200" max="13200" width="20.44140625" style="6" bestFit="1" customWidth="1"/>
    <col min="13201" max="13201" width="17.33203125" style="6" bestFit="1" customWidth="1"/>
    <col min="13202" max="13202" width="18.33203125" style="6" bestFit="1" customWidth="1"/>
    <col min="13203" max="13203" width="17.44140625" style="6" bestFit="1" customWidth="1"/>
    <col min="13204" max="13204" width="1.44140625" style="6" customWidth="1"/>
    <col min="13205" max="13205" width="17.33203125" style="6" customWidth="1"/>
    <col min="13206" max="13206" width="17.88671875" style="6" bestFit="1" customWidth="1"/>
    <col min="13207" max="13207" width="17.33203125" style="6" customWidth="1"/>
    <col min="13208" max="13208" width="17.88671875" style="6" bestFit="1" customWidth="1"/>
    <col min="13209" max="13209" width="17" style="6" bestFit="1" customWidth="1"/>
    <col min="13210" max="13210" width="1.6640625" style="6" customWidth="1"/>
    <col min="13211" max="13211" width="17.33203125" style="6" bestFit="1" customWidth="1"/>
    <col min="13212" max="13212" width="17.88671875" style="6" bestFit="1" customWidth="1"/>
    <col min="13213" max="13213" width="17.33203125" style="6" bestFit="1" customWidth="1"/>
    <col min="13214" max="13214" width="17.88671875" style="6" bestFit="1" customWidth="1"/>
    <col min="13215" max="13215" width="17" style="6" bestFit="1" customWidth="1"/>
    <col min="13216" max="13216" width="2" style="6" customWidth="1"/>
    <col min="13217" max="13218" width="17" style="6" bestFit="1" customWidth="1"/>
    <col min="13219" max="13219" width="17.33203125" style="6" bestFit="1" customWidth="1"/>
    <col min="13220" max="13220" width="16" style="6" customWidth="1"/>
    <col min="13221" max="13221" width="17" style="6" bestFit="1" customWidth="1"/>
    <col min="13222" max="13222" width="2" style="6" customWidth="1"/>
    <col min="13223" max="13224" width="17" style="6" bestFit="1" customWidth="1"/>
    <col min="13225" max="13225" width="17.33203125" style="6" bestFit="1" customWidth="1"/>
    <col min="13226" max="13226" width="16" style="6" customWidth="1"/>
    <col min="13227" max="13227" width="17" style="6" bestFit="1" customWidth="1"/>
    <col min="13228" max="13228" width="2" style="6" customWidth="1"/>
    <col min="13229" max="13229" width="17" style="6" bestFit="1" customWidth="1"/>
    <col min="13230" max="13230" width="25.5546875" style="6" customWidth="1"/>
    <col min="13231" max="13231" width="19.109375" style="6" customWidth="1"/>
    <col min="13232" max="13232" width="16" style="6" customWidth="1"/>
    <col min="13233" max="13233" width="17" style="6" bestFit="1" customWidth="1"/>
    <col min="13234" max="13234" width="2" style="6" customWidth="1"/>
    <col min="13235" max="13235" width="16" style="6" bestFit="1" customWidth="1"/>
    <col min="13236" max="13236" width="16.33203125" style="6" bestFit="1" customWidth="1"/>
    <col min="13237" max="13237" width="15.6640625" style="6" bestFit="1" customWidth="1"/>
    <col min="13238" max="13238" width="16.33203125" style="6" bestFit="1" customWidth="1"/>
    <col min="13239" max="13239" width="15" style="6" bestFit="1" customWidth="1"/>
    <col min="13240" max="13240" width="2" style="6" customWidth="1"/>
    <col min="13241" max="13241" width="17" style="6" bestFit="1" customWidth="1"/>
    <col min="13242" max="13242" width="16.6640625" style="6" bestFit="1" customWidth="1"/>
    <col min="13243" max="13243" width="17.33203125" style="6" bestFit="1" customWidth="1"/>
    <col min="13244" max="13244" width="16" style="6" bestFit="1" customWidth="1"/>
    <col min="13245" max="13245" width="17" style="6" customWidth="1"/>
    <col min="13246" max="13246" width="2" style="6" customWidth="1"/>
    <col min="13247" max="13247" width="16.33203125" style="6" bestFit="1" customWidth="1"/>
    <col min="13248" max="13248" width="18.88671875" style="6" bestFit="1" customWidth="1"/>
    <col min="13249" max="13249" width="16" style="6" bestFit="1" customWidth="1"/>
    <col min="13250" max="13250" width="16.33203125" style="6" bestFit="1" customWidth="1"/>
    <col min="13251" max="13251" width="15" style="6" bestFit="1" customWidth="1"/>
    <col min="13252" max="13252" width="2" style="6" customWidth="1"/>
    <col min="13253" max="13254" width="17" style="6" bestFit="1" customWidth="1"/>
    <col min="13255" max="13255" width="17.33203125" style="6" bestFit="1" customWidth="1"/>
    <col min="13256" max="13256" width="16" style="6" bestFit="1" customWidth="1"/>
    <col min="13257" max="13257" width="17" style="6" bestFit="1" customWidth="1"/>
    <col min="13258" max="13258" width="2.33203125" style="6" customWidth="1"/>
    <col min="13259" max="13259" width="17" style="6" customWidth="1"/>
    <col min="13260" max="13260" width="17" style="6" bestFit="1" customWidth="1"/>
    <col min="13261" max="13261" width="17.33203125" style="6" bestFit="1" customWidth="1"/>
    <col min="13262" max="13262" width="16" style="6" bestFit="1" customWidth="1"/>
    <col min="13263" max="13263" width="17" style="6" bestFit="1" customWidth="1"/>
    <col min="13264" max="13264" width="3" style="6" customWidth="1"/>
    <col min="13265" max="13265" width="16" style="6" bestFit="1" customWidth="1"/>
    <col min="13266" max="13266" width="17" style="6" bestFit="1" customWidth="1"/>
    <col min="13267" max="13267" width="17.33203125" style="6" bestFit="1" customWidth="1"/>
    <col min="13268" max="13268" width="16" style="6" bestFit="1" customWidth="1"/>
    <col min="13269" max="13269" width="17" style="6" bestFit="1" customWidth="1"/>
    <col min="13270" max="13270" width="3" style="6" customWidth="1"/>
    <col min="13271" max="13272" width="17.88671875" style="6" bestFit="1" customWidth="1"/>
    <col min="13273" max="13273" width="17.33203125" style="6" bestFit="1" customWidth="1"/>
    <col min="13274" max="13274" width="17.88671875" style="6" bestFit="1" customWidth="1"/>
    <col min="13275" max="13275" width="17" style="6" bestFit="1" customWidth="1"/>
    <col min="13276" max="13276" width="17.6640625" style="6" bestFit="1" customWidth="1"/>
    <col min="13277" max="13277" width="2" style="6" customWidth="1"/>
    <col min="13278" max="13278" width="19.88671875" style="6" bestFit="1" customWidth="1"/>
    <col min="13279" max="13279" width="18.88671875" style="6" bestFit="1" customWidth="1"/>
    <col min="13280" max="13280" width="19.5546875" style="6" bestFit="1" customWidth="1"/>
    <col min="13281" max="13452" width="11.44140625" style="6"/>
    <col min="13453" max="13453" width="18.6640625" style="6" customWidth="1"/>
    <col min="13454" max="13454" width="38.5546875" style="6" customWidth="1"/>
    <col min="13455" max="13455" width="21.5546875" style="6" bestFit="1" customWidth="1"/>
    <col min="13456" max="13456" width="20.44140625" style="6" bestFit="1" customWidth="1"/>
    <col min="13457" max="13457" width="17.33203125" style="6" bestFit="1" customWidth="1"/>
    <col min="13458" max="13458" width="18.33203125" style="6" bestFit="1" customWidth="1"/>
    <col min="13459" max="13459" width="17.44140625" style="6" bestFit="1" customWidth="1"/>
    <col min="13460" max="13460" width="1.44140625" style="6" customWidth="1"/>
    <col min="13461" max="13461" width="17.33203125" style="6" customWidth="1"/>
    <col min="13462" max="13462" width="17.88671875" style="6" bestFit="1" customWidth="1"/>
    <col min="13463" max="13463" width="17.33203125" style="6" customWidth="1"/>
    <col min="13464" max="13464" width="17.88671875" style="6" bestFit="1" customWidth="1"/>
    <col min="13465" max="13465" width="17" style="6" bestFit="1" customWidth="1"/>
    <col min="13466" max="13466" width="1.6640625" style="6" customWidth="1"/>
    <col min="13467" max="13467" width="17.33203125" style="6" bestFit="1" customWidth="1"/>
    <col min="13468" max="13468" width="17.88671875" style="6" bestFit="1" customWidth="1"/>
    <col min="13469" max="13469" width="17.33203125" style="6" bestFit="1" customWidth="1"/>
    <col min="13470" max="13470" width="17.88671875" style="6" bestFit="1" customWidth="1"/>
    <col min="13471" max="13471" width="17" style="6" bestFit="1" customWidth="1"/>
    <col min="13472" max="13472" width="2" style="6" customWidth="1"/>
    <col min="13473" max="13474" width="17" style="6" bestFit="1" customWidth="1"/>
    <col min="13475" max="13475" width="17.33203125" style="6" bestFit="1" customWidth="1"/>
    <col min="13476" max="13476" width="16" style="6" customWidth="1"/>
    <col min="13477" max="13477" width="17" style="6" bestFit="1" customWidth="1"/>
    <col min="13478" max="13478" width="2" style="6" customWidth="1"/>
    <col min="13479" max="13480" width="17" style="6" bestFit="1" customWidth="1"/>
    <col min="13481" max="13481" width="17.33203125" style="6" bestFit="1" customWidth="1"/>
    <col min="13482" max="13482" width="16" style="6" customWidth="1"/>
    <col min="13483" max="13483" width="17" style="6" bestFit="1" customWidth="1"/>
    <col min="13484" max="13484" width="2" style="6" customWidth="1"/>
    <col min="13485" max="13485" width="17" style="6" bestFit="1" customWidth="1"/>
    <col min="13486" max="13486" width="25.5546875" style="6" customWidth="1"/>
    <col min="13487" max="13487" width="19.109375" style="6" customWidth="1"/>
    <col min="13488" max="13488" width="16" style="6" customWidth="1"/>
    <col min="13489" max="13489" width="17" style="6" bestFit="1" customWidth="1"/>
    <col min="13490" max="13490" width="2" style="6" customWidth="1"/>
    <col min="13491" max="13491" width="16" style="6" bestFit="1" customWidth="1"/>
    <col min="13492" max="13492" width="16.33203125" style="6" bestFit="1" customWidth="1"/>
    <col min="13493" max="13493" width="15.6640625" style="6" bestFit="1" customWidth="1"/>
    <col min="13494" max="13494" width="16.33203125" style="6" bestFit="1" customWidth="1"/>
    <col min="13495" max="13495" width="15" style="6" bestFit="1" customWidth="1"/>
    <col min="13496" max="13496" width="2" style="6" customWidth="1"/>
    <col min="13497" max="13497" width="17" style="6" bestFit="1" customWidth="1"/>
    <col min="13498" max="13498" width="16.6640625" style="6" bestFit="1" customWidth="1"/>
    <col min="13499" max="13499" width="17.33203125" style="6" bestFit="1" customWidth="1"/>
    <col min="13500" max="13500" width="16" style="6" bestFit="1" customWidth="1"/>
    <col min="13501" max="13501" width="17" style="6" customWidth="1"/>
    <col min="13502" max="13502" width="2" style="6" customWidth="1"/>
    <col min="13503" max="13503" width="16.33203125" style="6" bestFit="1" customWidth="1"/>
    <col min="13504" max="13504" width="18.88671875" style="6" bestFit="1" customWidth="1"/>
    <col min="13505" max="13505" width="16" style="6" bestFit="1" customWidth="1"/>
    <col min="13506" max="13506" width="16.33203125" style="6" bestFit="1" customWidth="1"/>
    <col min="13507" max="13507" width="15" style="6" bestFit="1" customWidth="1"/>
    <col min="13508" max="13508" width="2" style="6" customWidth="1"/>
    <col min="13509" max="13510" width="17" style="6" bestFit="1" customWidth="1"/>
    <col min="13511" max="13511" width="17.33203125" style="6" bestFit="1" customWidth="1"/>
    <col min="13512" max="13512" width="16" style="6" bestFit="1" customWidth="1"/>
    <col min="13513" max="13513" width="17" style="6" bestFit="1" customWidth="1"/>
    <col min="13514" max="13514" width="2.33203125" style="6" customWidth="1"/>
    <col min="13515" max="13515" width="17" style="6" customWidth="1"/>
    <col min="13516" max="13516" width="17" style="6" bestFit="1" customWidth="1"/>
    <col min="13517" max="13517" width="17.33203125" style="6" bestFit="1" customWidth="1"/>
    <col min="13518" max="13518" width="16" style="6" bestFit="1" customWidth="1"/>
    <col min="13519" max="13519" width="17" style="6" bestFit="1" customWidth="1"/>
    <col min="13520" max="13520" width="3" style="6" customWidth="1"/>
    <col min="13521" max="13521" width="16" style="6" bestFit="1" customWidth="1"/>
    <col min="13522" max="13522" width="17" style="6" bestFit="1" customWidth="1"/>
    <col min="13523" max="13523" width="17.33203125" style="6" bestFit="1" customWidth="1"/>
    <col min="13524" max="13524" width="16" style="6" bestFit="1" customWidth="1"/>
    <col min="13525" max="13525" width="17" style="6" bestFit="1" customWidth="1"/>
    <col min="13526" max="13526" width="3" style="6" customWidth="1"/>
    <col min="13527" max="13528" width="17.88671875" style="6" bestFit="1" customWidth="1"/>
    <col min="13529" max="13529" width="17.33203125" style="6" bestFit="1" customWidth="1"/>
    <col min="13530" max="13530" width="17.88671875" style="6" bestFit="1" customWidth="1"/>
    <col min="13531" max="13531" width="17" style="6" bestFit="1" customWidth="1"/>
    <col min="13532" max="13532" width="17.6640625" style="6" bestFit="1" customWidth="1"/>
    <col min="13533" max="13533" width="2" style="6" customWidth="1"/>
    <col min="13534" max="13534" width="19.88671875" style="6" bestFit="1" customWidth="1"/>
    <col min="13535" max="13535" width="18.88671875" style="6" bestFit="1" customWidth="1"/>
    <col min="13536" max="13536" width="19.5546875" style="6" bestFit="1" customWidth="1"/>
    <col min="13537" max="13708" width="11.44140625" style="6"/>
    <col min="13709" max="13709" width="18.6640625" style="6" customWidth="1"/>
    <col min="13710" max="13710" width="38.5546875" style="6" customWidth="1"/>
    <col min="13711" max="13711" width="21.5546875" style="6" bestFit="1" customWidth="1"/>
    <col min="13712" max="13712" width="20.44140625" style="6" bestFit="1" customWidth="1"/>
    <col min="13713" max="13713" width="17.33203125" style="6" bestFit="1" customWidth="1"/>
    <col min="13714" max="13714" width="18.33203125" style="6" bestFit="1" customWidth="1"/>
    <col min="13715" max="13715" width="17.44140625" style="6" bestFit="1" customWidth="1"/>
    <col min="13716" max="13716" width="1.44140625" style="6" customWidth="1"/>
    <col min="13717" max="13717" width="17.33203125" style="6" customWidth="1"/>
    <col min="13718" max="13718" width="17.88671875" style="6" bestFit="1" customWidth="1"/>
    <col min="13719" max="13719" width="17.33203125" style="6" customWidth="1"/>
    <col min="13720" max="13720" width="17.88671875" style="6" bestFit="1" customWidth="1"/>
    <col min="13721" max="13721" width="17" style="6" bestFit="1" customWidth="1"/>
    <col min="13722" max="13722" width="1.6640625" style="6" customWidth="1"/>
    <col min="13723" max="13723" width="17.33203125" style="6" bestFit="1" customWidth="1"/>
    <col min="13724" max="13724" width="17.88671875" style="6" bestFit="1" customWidth="1"/>
    <col min="13725" max="13725" width="17.33203125" style="6" bestFit="1" customWidth="1"/>
    <col min="13726" max="13726" width="17.88671875" style="6" bestFit="1" customWidth="1"/>
    <col min="13727" max="13727" width="17" style="6" bestFit="1" customWidth="1"/>
    <col min="13728" max="13728" width="2" style="6" customWidth="1"/>
    <col min="13729" max="13730" width="17" style="6" bestFit="1" customWidth="1"/>
    <col min="13731" max="13731" width="17.33203125" style="6" bestFit="1" customWidth="1"/>
    <col min="13732" max="13732" width="16" style="6" customWidth="1"/>
    <col min="13733" max="13733" width="17" style="6" bestFit="1" customWidth="1"/>
    <col min="13734" max="13734" width="2" style="6" customWidth="1"/>
    <col min="13735" max="13736" width="17" style="6" bestFit="1" customWidth="1"/>
    <col min="13737" max="13737" width="17.33203125" style="6" bestFit="1" customWidth="1"/>
    <col min="13738" max="13738" width="16" style="6" customWidth="1"/>
    <col min="13739" max="13739" width="17" style="6" bestFit="1" customWidth="1"/>
    <col min="13740" max="13740" width="2" style="6" customWidth="1"/>
    <col min="13741" max="13741" width="17" style="6" bestFit="1" customWidth="1"/>
    <col min="13742" max="13742" width="25.5546875" style="6" customWidth="1"/>
    <col min="13743" max="13743" width="19.109375" style="6" customWidth="1"/>
    <col min="13744" max="13744" width="16" style="6" customWidth="1"/>
    <col min="13745" max="13745" width="17" style="6" bestFit="1" customWidth="1"/>
    <col min="13746" max="13746" width="2" style="6" customWidth="1"/>
    <col min="13747" max="13747" width="16" style="6" bestFit="1" customWidth="1"/>
    <col min="13748" max="13748" width="16.33203125" style="6" bestFit="1" customWidth="1"/>
    <col min="13749" max="13749" width="15.6640625" style="6" bestFit="1" customWidth="1"/>
    <col min="13750" max="13750" width="16.33203125" style="6" bestFit="1" customWidth="1"/>
    <col min="13751" max="13751" width="15" style="6" bestFit="1" customWidth="1"/>
    <col min="13752" max="13752" width="2" style="6" customWidth="1"/>
    <col min="13753" max="13753" width="17" style="6" bestFit="1" customWidth="1"/>
    <col min="13754" max="13754" width="16.6640625" style="6" bestFit="1" customWidth="1"/>
    <col min="13755" max="13755" width="17.33203125" style="6" bestFit="1" customWidth="1"/>
    <col min="13756" max="13756" width="16" style="6" bestFit="1" customWidth="1"/>
    <col min="13757" max="13757" width="17" style="6" customWidth="1"/>
    <col min="13758" max="13758" width="2" style="6" customWidth="1"/>
    <col min="13759" max="13759" width="16.33203125" style="6" bestFit="1" customWidth="1"/>
    <col min="13760" max="13760" width="18.88671875" style="6" bestFit="1" customWidth="1"/>
    <col min="13761" max="13761" width="16" style="6" bestFit="1" customWidth="1"/>
    <col min="13762" max="13762" width="16.33203125" style="6" bestFit="1" customWidth="1"/>
    <col min="13763" max="13763" width="15" style="6" bestFit="1" customWidth="1"/>
    <col min="13764" max="13764" width="2" style="6" customWidth="1"/>
    <col min="13765" max="13766" width="17" style="6" bestFit="1" customWidth="1"/>
    <col min="13767" max="13767" width="17.33203125" style="6" bestFit="1" customWidth="1"/>
    <col min="13768" max="13768" width="16" style="6" bestFit="1" customWidth="1"/>
    <col min="13769" max="13769" width="17" style="6" bestFit="1" customWidth="1"/>
    <col min="13770" max="13770" width="2.33203125" style="6" customWidth="1"/>
    <col min="13771" max="13771" width="17" style="6" customWidth="1"/>
    <col min="13772" max="13772" width="17" style="6" bestFit="1" customWidth="1"/>
    <col min="13773" max="13773" width="17.33203125" style="6" bestFit="1" customWidth="1"/>
    <col min="13774" max="13774" width="16" style="6" bestFit="1" customWidth="1"/>
    <col min="13775" max="13775" width="17" style="6" bestFit="1" customWidth="1"/>
    <col min="13776" max="13776" width="3" style="6" customWidth="1"/>
    <col min="13777" max="13777" width="16" style="6" bestFit="1" customWidth="1"/>
    <col min="13778" max="13778" width="17" style="6" bestFit="1" customWidth="1"/>
    <col min="13779" max="13779" width="17.33203125" style="6" bestFit="1" customWidth="1"/>
    <col min="13780" max="13780" width="16" style="6" bestFit="1" customWidth="1"/>
    <col min="13781" max="13781" width="17" style="6" bestFit="1" customWidth="1"/>
    <col min="13782" max="13782" width="3" style="6" customWidth="1"/>
    <col min="13783" max="13784" width="17.88671875" style="6" bestFit="1" customWidth="1"/>
    <col min="13785" max="13785" width="17.33203125" style="6" bestFit="1" customWidth="1"/>
    <col min="13786" max="13786" width="17.88671875" style="6" bestFit="1" customWidth="1"/>
    <col min="13787" max="13787" width="17" style="6" bestFit="1" customWidth="1"/>
    <col min="13788" max="13788" width="17.6640625" style="6" bestFit="1" customWidth="1"/>
    <col min="13789" max="13789" width="2" style="6" customWidth="1"/>
    <col min="13790" max="13790" width="19.88671875" style="6" bestFit="1" customWidth="1"/>
    <col min="13791" max="13791" width="18.88671875" style="6" bestFit="1" customWidth="1"/>
    <col min="13792" max="13792" width="19.5546875" style="6" bestFit="1" customWidth="1"/>
    <col min="13793" max="13964" width="11.44140625" style="6"/>
    <col min="13965" max="13965" width="18.6640625" style="6" customWidth="1"/>
    <col min="13966" max="13966" width="38.5546875" style="6" customWidth="1"/>
    <col min="13967" max="13967" width="21.5546875" style="6" bestFit="1" customWidth="1"/>
    <col min="13968" max="13968" width="20.44140625" style="6" bestFit="1" customWidth="1"/>
    <col min="13969" max="13969" width="17.33203125" style="6" bestFit="1" customWidth="1"/>
    <col min="13970" max="13970" width="18.33203125" style="6" bestFit="1" customWidth="1"/>
    <col min="13971" max="13971" width="17.44140625" style="6" bestFit="1" customWidth="1"/>
    <col min="13972" max="13972" width="1.44140625" style="6" customWidth="1"/>
    <col min="13973" max="13973" width="17.33203125" style="6" customWidth="1"/>
    <col min="13974" max="13974" width="17.88671875" style="6" bestFit="1" customWidth="1"/>
    <col min="13975" max="13975" width="17.33203125" style="6" customWidth="1"/>
    <col min="13976" max="13976" width="17.88671875" style="6" bestFit="1" customWidth="1"/>
    <col min="13977" max="13977" width="17" style="6" bestFit="1" customWidth="1"/>
    <col min="13978" max="13978" width="1.6640625" style="6" customWidth="1"/>
    <col min="13979" max="13979" width="17.33203125" style="6" bestFit="1" customWidth="1"/>
    <col min="13980" max="13980" width="17.88671875" style="6" bestFit="1" customWidth="1"/>
    <col min="13981" max="13981" width="17.33203125" style="6" bestFit="1" customWidth="1"/>
    <col min="13982" max="13982" width="17.88671875" style="6" bestFit="1" customWidth="1"/>
    <col min="13983" max="13983" width="17" style="6" bestFit="1" customWidth="1"/>
    <col min="13984" max="13984" width="2" style="6" customWidth="1"/>
    <col min="13985" max="13986" width="17" style="6" bestFit="1" customWidth="1"/>
    <col min="13987" max="13987" width="17.33203125" style="6" bestFit="1" customWidth="1"/>
    <col min="13988" max="13988" width="16" style="6" customWidth="1"/>
    <col min="13989" max="13989" width="17" style="6" bestFit="1" customWidth="1"/>
    <col min="13990" max="13990" width="2" style="6" customWidth="1"/>
    <col min="13991" max="13992" width="17" style="6" bestFit="1" customWidth="1"/>
    <col min="13993" max="13993" width="17.33203125" style="6" bestFit="1" customWidth="1"/>
    <col min="13994" max="13994" width="16" style="6" customWidth="1"/>
    <col min="13995" max="13995" width="17" style="6" bestFit="1" customWidth="1"/>
    <col min="13996" max="13996" width="2" style="6" customWidth="1"/>
    <col min="13997" max="13997" width="17" style="6" bestFit="1" customWidth="1"/>
    <col min="13998" max="13998" width="25.5546875" style="6" customWidth="1"/>
    <col min="13999" max="13999" width="19.109375" style="6" customWidth="1"/>
    <col min="14000" max="14000" width="16" style="6" customWidth="1"/>
    <col min="14001" max="14001" width="17" style="6" bestFit="1" customWidth="1"/>
    <col min="14002" max="14002" width="2" style="6" customWidth="1"/>
    <col min="14003" max="14003" width="16" style="6" bestFit="1" customWidth="1"/>
    <col min="14004" max="14004" width="16.33203125" style="6" bestFit="1" customWidth="1"/>
    <col min="14005" max="14005" width="15.6640625" style="6" bestFit="1" customWidth="1"/>
    <col min="14006" max="14006" width="16.33203125" style="6" bestFit="1" customWidth="1"/>
    <col min="14007" max="14007" width="15" style="6" bestFit="1" customWidth="1"/>
    <col min="14008" max="14008" width="2" style="6" customWidth="1"/>
    <col min="14009" max="14009" width="17" style="6" bestFit="1" customWidth="1"/>
    <col min="14010" max="14010" width="16.6640625" style="6" bestFit="1" customWidth="1"/>
    <col min="14011" max="14011" width="17.33203125" style="6" bestFit="1" customWidth="1"/>
    <col min="14012" max="14012" width="16" style="6" bestFit="1" customWidth="1"/>
    <col min="14013" max="14013" width="17" style="6" customWidth="1"/>
    <col min="14014" max="14014" width="2" style="6" customWidth="1"/>
    <col min="14015" max="14015" width="16.33203125" style="6" bestFit="1" customWidth="1"/>
    <col min="14016" max="14016" width="18.88671875" style="6" bestFit="1" customWidth="1"/>
    <col min="14017" max="14017" width="16" style="6" bestFit="1" customWidth="1"/>
    <col min="14018" max="14018" width="16.33203125" style="6" bestFit="1" customWidth="1"/>
    <col min="14019" max="14019" width="15" style="6" bestFit="1" customWidth="1"/>
    <col min="14020" max="14020" width="2" style="6" customWidth="1"/>
    <col min="14021" max="14022" width="17" style="6" bestFit="1" customWidth="1"/>
    <col min="14023" max="14023" width="17.33203125" style="6" bestFit="1" customWidth="1"/>
    <col min="14024" max="14024" width="16" style="6" bestFit="1" customWidth="1"/>
    <col min="14025" max="14025" width="17" style="6" bestFit="1" customWidth="1"/>
    <col min="14026" max="14026" width="2.33203125" style="6" customWidth="1"/>
    <col min="14027" max="14027" width="17" style="6" customWidth="1"/>
    <col min="14028" max="14028" width="17" style="6" bestFit="1" customWidth="1"/>
    <col min="14029" max="14029" width="17.33203125" style="6" bestFit="1" customWidth="1"/>
    <col min="14030" max="14030" width="16" style="6" bestFit="1" customWidth="1"/>
    <col min="14031" max="14031" width="17" style="6" bestFit="1" customWidth="1"/>
    <col min="14032" max="14032" width="3" style="6" customWidth="1"/>
    <col min="14033" max="14033" width="16" style="6" bestFit="1" customWidth="1"/>
    <col min="14034" max="14034" width="17" style="6" bestFit="1" customWidth="1"/>
    <col min="14035" max="14035" width="17.33203125" style="6" bestFit="1" customWidth="1"/>
    <col min="14036" max="14036" width="16" style="6" bestFit="1" customWidth="1"/>
    <col min="14037" max="14037" width="17" style="6" bestFit="1" customWidth="1"/>
    <col min="14038" max="14038" width="3" style="6" customWidth="1"/>
    <col min="14039" max="14040" width="17.88671875" style="6" bestFit="1" customWidth="1"/>
    <col min="14041" max="14041" width="17.33203125" style="6" bestFit="1" customWidth="1"/>
    <col min="14042" max="14042" width="17.88671875" style="6" bestFit="1" customWidth="1"/>
    <col min="14043" max="14043" width="17" style="6" bestFit="1" customWidth="1"/>
    <col min="14044" max="14044" width="17.6640625" style="6" bestFit="1" customWidth="1"/>
    <col min="14045" max="14045" width="2" style="6" customWidth="1"/>
    <col min="14046" max="14046" width="19.88671875" style="6" bestFit="1" customWidth="1"/>
    <col min="14047" max="14047" width="18.88671875" style="6" bestFit="1" customWidth="1"/>
    <col min="14048" max="14048" width="19.5546875" style="6" bestFit="1" customWidth="1"/>
    <col min="14049" max="14220" width="11.44140625" style="6"/>
    <col min="14221" max="14221" width="18.6640625" style="6" customWidth="1"/>
    <col min="14222" max="14222" width="38.5546875" style="6" customWidth="1"/>
    <col min="14223" max="14223" width="21.5546875" style="6" bestFit="1" customWidth="1"/>
    <col min="14224" max="14224" width="20.44140625" style="6" bestFit="1" customWidth="1"/>
    <col min="14225" max="14225" width="17.33203125" style="6" bestFit="1" customWidth="1"/>
    <col min="14226" max="14226" width="18.33203125" style="6" bestFit="1" customWidth="1"/>
    <col min="14227" max="14227" width="17.44140625" style="6" bestFit="1" customWidth="1"/>
    <col min="14228" max="14228" width="1.44140625" style="6" customWidth="1"/>
    <col min="14229" max="14229" width="17.33203125" style="6" customWidth="1"/>
    <col min="14230" max="14230" width="17.88671875" style="6" bestFit="1" customWidth="1"/>
    <col min="14231" max="14231" width="17.33203125" style="6" customWidth="1"/>
    <col min="14232" max="14232" width="17.88671875" style="6" bestFit="1" customWidth="1"/>
    <col min="14233" max="14233" width="17" style="6" bestFit="1" customWidth="1"/>
    <col min="14234" max="14234" width="1.6640625" style="6" customWidth="1"/>
    <col min="14235" max="14235" width="17.33203125" style="6" bestFit="1" customWidth="1"/>
    <col min="14236" max="14236" width="17.88671875" style="6" bestFit="1" customWidth="1"/>
    <col min="14237" max="14237" width="17.33203125" style="6" bestFit="1" customWidth="1"/>
    <col min="14238" max="14238" width="17.88671875" style="6" bestFit="1" customWidth="1"/>
    <col min="14239" max="14239" width="17" style="6" bestFit="1" customWidth="1"/>
    <col min="14240" max="14240" width="2" style="6" customWidth="1"/>
    <col min="14241" max="14242" width="17" style="6" bestFit="1" customWidth="1"/>
    <col min="14243" max="14243" width="17.33203125" style="6" bestFit="1" customWidth="1"/>
    <col min="14244" max="14244" width="16" style="6" customWidth="1"/>
    <col min="14245" max="14245" width="17" style="6" bestFit="1" customWidth="1"/>
    <col min="14246" max="14246" width="2" style="6" customWidth="1"/>
    <col min="14247" max="14248" width="17" style="6" bestFit="1" customWidth="1"/>
    <col min="14249" max="14249" width="17.33203125" style="6" bestFit="1" customWidth="1"/>
    <col min="14250" max="14250" width="16" style="6" customWidth="1"/>
    <col min="14251" max="14251" width="17" style="6" bestFit="1" customWidth="1"/>
    <col min="14252" max="14252" width="2" style="6" customWidth="1"/>
    <col min="14253" max="14253" width="17" style="6" bestFit="1" customWidth="1"/>
    <col min="14254" max="14254" width="25.5546875" style="6" customWidth="1"/>
    <col min="14255" max="14255" width="19.109375" style="6" customWidth="1"/>
    <col min="14256" max="14256" width="16" style="6" customWidth="1"/>
    <col min="14257" max="14257" width="17" style="6" bestFit="1" customWidth="1"/>
    <col min="14258" max="14258" width="2" style="6" customWidth="1"/>
    <col min="14259" max="14259" width="16" style="6" bestFit="1" customWidth="1"/>
    <col min="14260" max="14260" width="16.33203125" style="6" bestFit="1" customWidth="1"/>
    <col min="14261" max="14261" width="15.6640625" style="6" bestFit="1" customWidth="1"/>
    <col min="14262" max="14262" width="16.33203125" style="6" bestFit="1" customWidth="1"/>
    <col min="14263" max="14263" width="15" style="6" bestFit="1" customWidth="1"/>
    <col min="14264" max="14264" width="2" style="6" customWidth="1"/>
    <col min="14265" max="14265" width="17" style="6" bestFit="1" customWidth="1"/>
    <col min="14266" max="14266" width="16.6640625" style="6" bestFit="1" customWidth="1"/>
    <col min="14267" max="14267" width="17.33203125" style="6" bestFit="1" customWidth="1"/>
    <col min="14268" max="14268" width="16" style="6" bestFit="1" customWidth="1"/>
    <col min="14269" max="14269" width="17" style="6" customWidth="1"/>
    <col min="14270" max="14270" width="2" style="6" customWidth="1"/>
    <col min="14271" max="14271" width="16.33203125" style="6" bestFit="1" customWidth="1"/>
    <col min="14272" max="14272" width="18.88671875" style="6" bestFit="1" customWidth="1"/>
    <col min="14273" max="14273" width="16" style="6" bestFit="1" customWidth="1"/>
    <col min="14274" max="14274" width="16.33203125" style="6" bestFit="1" customWidth="1"/>
    <col min="14275" max="14275" width="15" style="6" bestFit="1" customWidth="1"/>
    <col min="14276" max="14276" width="2" style="6" customWidth="1"/>
    <col min="14277" max="14278" width="17" style="6" bestFit="1" customWidth="1"/>
    <col min="14279" max="14279" width="17.33203125" style="6" bestFit="1" customWidth="1"/>
    <col min="14280" max="14280" width="16" style="6" bestFit="1" customWidth="1"/>
    <col min="14281" max="14281" width="17" style="6" bestFit="1" customWidth="1"/>
    <col min="14282" max="14282" width="2.33203125" style="6" customWidth="1"/>
    <col min="14283" max="14283" width="17" style="6" customWidth="1"/>
    <col min="14284" max="14284" width="17" style="6" bestFit="1" customWidth="1"/>
    <col min="14285" max="14285" width="17.33203125" style="6" bestFit="1" customWidth="1"/>
    <col min="14286" max="14286" width="16" style="6" bestFit="1" customWidth="1"/>
    <col min="14287" max="14287" width="17" style="6" bestFit="1" customWidth="1"/>
    <col min="14288" max="14288" width="3" style="6" customWidth="1"/>
    <col min="14289" max="14289" width="16" style="6" bestFit="1" customWidth="1"/>
    <col min="14290" max="14290" width="17" style="6" bestFit="1" customWidth="1"/>
    <col min="14291" max="14291" width="17.33203125" style="6" bestFit="1" customWidth="1"/>
    <col min="14292" max="14292" width="16" style="6" bestFit="1" customWidth="1"/>
    <col min="14293" max="14293" width="17" style="6" bestFit="1" customWidth="1"/>
    <col min="14294" max="14294" width="3" style="6" customWidth="1"/>
    <col min="14295" max="14296" width="17.88671875" style="6" bestFit="1" customWidth="1"/>
    <col min="14297" max="14297" width="17.33203125" style="6" bestFit="1" customWidth="1"/>
    <col min="14298" max="14298" width="17.88671875" style="6" bestFit="1" customWidth="1"/>
    <col min="14299" max="14299" width="17" style="6" bestFit="1" customWidth="1"/>
    <col min="14300" max="14300" width="17.6640625" style="6" bestFit="1" customWidth="1"/>
    <col min="14301" max="14301" width="2" style="6" customWidth="1"/>
    <col min="14302" max="14302" width="19.88671875" style="6" bestFit="1" customWidth="1"/>
    <col min="14303" max="14303" width="18.88671875" style="6" bestFit="1" customWidth="1"/>
    <col min="14304" max="14304" width="19.5546875" style="6" bestFit="1" customWidth="1"/>
    <col min="14305" max="14476" width="11.44140625" style="6"/>
    <col min="14477" max="14477" width="18.6640625" style="6" customWidth="1"/>
    <col min="14478" max="14478" width="38.5546875" style="6" customWidth="1"/>
    <col min="14479" max="14479" width="21.5546875" style="6" bestFit="1" customWidth="1"/>
    <col min="14480" max="14480" width="20.44140625" style="6" bestFit="1" customWidth="1"/>
    <col min="14481" max="14481" width="17.33203125" style="6" bestFit="1" customWidth="1"/>
    <col min="14482" max="14482" width="18.33203125" style="6" bestFit="1" customWidth="1"/>
    <col min="14483" max="14483" width="17.44140625" style="6" bestFit="1" customWidth="1"/>
    <col min="14484" max="14484" width="1.44140625" style="6" customWidth="1"/>
    <col min="14485" max="14485" width="17.33203125" style="6" customWidth="1"/>
    <col min="14486" max="14486" width="17.88671875" style="6" bestFit="1" customWidth="1"/>
    <col min="14487" max="14487" width="17.33203125" style="6" customWidth="1"/>
    <col min="14488" max="14488" width="17.88671875" style="6" bestFit="1" customWidth="1"/>
    <col min="14489" max="14489" width="17" style="6" bestFit="1" customWidth="1"/>
    <col min="14490" max="14490" width="1.6640625" style="6" customWidth="1"/>
    <col min="14491" max="14491" width="17.33203125" style="6" bestFit="1" customWidth="1"/>
    <col min="14492" max="14492" width="17.88671875" style="6" bestFit="1" customWidth="1"/>
    <col min="14493" max="14493" width="17.33203125" style="6" bestFit="1" customWidth="1"/>
    <col min="14494" max="14494" width="17.88671875" style="6" bestFit="1" customWidth="1"/>
    <col min="14495" max="14495" width="17" style="6" bestFit="1" customWidth="1"/>
    <col min="14496" max="14496" width="2" style="6" customWidth="1"/>
    <col min="14497" max="14498" width="17" style="6" bestFit="1" customWidth="1"/>
    <col min="14499" max="14499" width="17.33203125" style="6" bestFit="1" customWidth="1"/>
    <col min="14500" max="14500" width="16" style="6" customWidth="1"/>
    <col min="14501" max="14501" width="17" style="6" bestFit="1" customWidth="1"/>
    <col min="14502" max="14502" width="2" style="6" customWidth="1"/>
    <col min="14503" max="14504" width="17" style="6" bestFit="1" customWidth="1"/>
    <col min="14505" max="14505" width="17.33203125" style="6" bestFit="1" customWidth="1"/>
    <col min="14506" max="14506" width="16" style="6" customWidth="1"/>
    <col min="14507" max="14507" width="17" style="6" bestFit="1" customWidth="1"/>
    <col min="14508" max="14508" width="2" style="6" customWidth="1"/>
    <col min="14509" max="14509" width="17" style="6" bestFit="1" customWidth="1"/>
    <col min="14510" max="14510" width="25.5546875" style="6" customWidth="1"/>
    <col min="14511" max="14511" width="19.109375" style="6" customWidth="1"/>
    <col min="14512" max="14512" width="16" style="6" customWidth="1"/>
    <col min="14513" max="14513" width="17" style="6" bestFit="1" customWidth="1"/>
    <col min="14514" max="14514" width="2" style="6" customWidth="1"/>
    <col min="14515" max="14515" width="16" style="6" bestFit="1" customWidth="1"/>
    <col min="14516" max="14516" width="16.33203125" style="6" bestFit="1" customWidth="1"/>
    <col min="14517" max="14517" width="15.6640625" style="6" bestFit="1" customWidth="1"/>
    <col min="14518" max="14518" width="16.33203125" style="6" bestFit="1" customWidth="1"/>
    <col min="14519" max="14519" width="15" style="6" bestFit="1" customWidth="1"/>
    <col min="14520" max="14520" width="2" style="6" customWidth="1"/>
    <col min="14521" max="14521" width="17" style="6" bestFit="1" customWidth="1"/>
    <col min="14522" max="14522" width="16.6640625" style="6" bestFit="1" customWidth="1"/>
    <col min="14523" max="14523" width="17.33203125" style="6" bestFit="1" customWidth="1"/>
    <col min="14524" max="14524" width="16" style="6" bestFit="1" customWidth="1"/>
    <col min="14525" max="14525" width="17" style="6" customWidth="1"/>
    <col min="14526" max="14526" width="2" style="6" customWidth="1"/>
    <col min="14527" max="14527" width="16.33203125" style="6" bestFit="1" customWidth="1"/>
    <col min="14528" max="14528" width="18.88671875" style="6" bestFit="1" customWidth="1"/>
    <col min="14529" max="14529" width="16" style="6" bestFit="1" customWidth="1"/>
    <col min="14530" max="14530" width="16.33203125" style="6" bestFit="1" customWidth="1"/>
    <col min="14531" max="14531" width="15" style="6" bestFit="1" customWidth="1"/>
    <col min="14532" max="14532" width="2" style="6" customWidth="1"/>
    <col min="14533" max="14534" width="17" style="6" bestFit="1" customWidth="1"/>
    <col min="14535" max="14535" width="17.33203125" style="6" bestFit="1" customWidth="1"/>
    <col min="14536" max="14536" width="16" style="6" bestFit="1" customWidth="1"/>
    <col min="14537" max="14537" width="17" style="6" bestFit="1" customWidth="1"/>
    <col min="14538" max="14538" width="2.33203125" style="6" customWidth="1"/>
    <col min="14539" max="14539" width="17" style="6" customWidth="1"/>
    <col min="14540" max="14540" width="17" style="6" bestFit="1" customWidth="1"/>
    <col min="14541" max="14541" width="17.33203125" style="6" bestFit="1" customWidth="1"/>
    <col min="14542" max="14542" width="16" style="6" bestFit="1" customWidth="1"/>
    <col min="14543" max="14543" width="17" style="6" bestFit="1" customWidth="1"/>
    <col min="14544" max="14544" width="3" style="6" customWidth="1"/>
    <col min="14545" max="14545" width="16" style="6" bestFit="1" customWidth="1"/>
    <col min="14546" max="14546" width="17" style="6" bestFit="1" customWidth="1"/>
    <col min="14547" max="14547" width="17.33203125" style="6" bestFit="1" customWidth="1"/>
    <col min="14548" max="14548" width="16" style="6" bestFit="1" customWidth="1"/>
    <col min="14549" max="14549" width="17" style="6" bestFit="1" customWidth="1"/>
    <col min="14550" max="14550" width="3" style="6" customWidth="1"/>
    <col min="14551" max="14552" width="17.88671875" style="6" bestFit="1" customWidth="1"/>
    <col min="14553" max="14553" width="17.33203125" style="6" bestFit="1" customWidth="1"/>
    <col min="14554" max="14554" width="17.88671875" style="6" bestFit="1" customWidth="1"/>
    <col min="14555" max="14555" width="17" style="6" bestFit="1" customWidth="1"/>
    <col min="14556" max="14556" width="17.6640625" style="6" bestFit="1" customWidth="1"/>
    <col min="14557" max="14557" width="2" style="6" customWidth="1"/>
    <col min="14558" max="14558" width="19.88671875" style="6" bestFit="1" customWidth="1"/>
    <col min="14559" max="14559" width="18.88671875" style="6" bestFit="1" customWidth="1"/>
    <col min="14560" max="14560" width="19.5546875" style="6" bestFit="1" customWidth="1"/>
    <col min="14561" max="14732" width="11.44140625" style="6"/>
    <col min="14733" max="14733" width="18.6640625" style="6" customWidth="1"/>
    <col min="14734" max="14734" width="38.5546875" style="6" customWidth="1"/>
    <col min="14735" max="14735" width="21.5546875" style="6" bestFit="1" customWidth="1"/>
    <col min="14736" max="14736" width="20.44140625" style="6" bestFit="1" customWidth="1"/>
    <col min="14737" max="14737" width="17.33203125" style="6" bestFit="1" customWidth="1"/>
    <col min="14738" max="14738" width="18.33203125" style="6" bestFit="1" customWidth="1"/>
    <col min="14739" max="14739" width="17.44140625" style="6" bestFit="1" customWidth="1"/>
    <col min="14740" max="14740" width="1.44140625" style="6" customWidth="1"/>
    <col min="14741" max="14741" width="17.33203125" style="6" customWidth="1"/>
    <col min="14742" max="14742" width="17.88671875" style="6" bestFit="1" customWidth="1"/>
    <col min="14743" max="14743" width="17.33203125" style="6" customWidth="1"/>
    <col min="14744" max="14744" width="17.88671875" style="6" bestFit="1" customWidth="1"/>
    <col min="14745" max="14745" width="17" style="6" bestFit="1" customWidth="1"/>
    <col min="14746" max="14746" width="1.6640625" style="6" customWidth="1"/>
    <col min="14747" max="14747" width="17.33203125" style="6" bestFit="1" customWidth="1"/>
    <col min="14748" max="14748" width="17.88671875" style="6" bestFit="1" customWidth="1"/>
    <col min="14749" max="14749" width="17.33203125" style="6" bestFit="1" customWidth="1"/>
    <col min="14750" max="14750" width="17.88671875" style="6" bestFit="1" customWidth="1"/>
    <col min="14751" max="14751" width="17" style="6" bestFit="1" customWidth="1"/>
    <col min="14752" max="14752" width="2" style="6" customWidth="1"/>
    <col min="14753" max="14754" width="17" style="6" bestFit="1" customWidth="1"/>
    <col min="14755" max="14755" width="17.33203125" style="6" bestFit="1" customWidth="1"/>
    <col min="14756" max="14756" width="16" style="6" customWidth="1"/>
    <col min="14757" max="14757" width="17" style="6" bestFit="1" customWidth="1"/>
    <col min="14758" max="14758" width="2" style="6" customWidth="1"/>
    <col min="14759" max="14760" width="17" style="6" bestFit="1" customWidth="1"/>
    <col min="14761" max="14761" width="17.33203125" style="6" bestFit="1" customWidth="1"/>
    <col min="14762" max="14762" width="16" style="6" customWidth="1"/>
    <col min="14763" max="14763" width="17" style="6" bestFit="1" customWidth="1"/>
    <col min="14764" max="14764" width="2" style="6" customWidth="1"/>
    <col min="14765" max="14765" width="17" style="6" bestFit="1" customWidth="1"/>
    <col min="14766" max="14766" width="25.5546875" style="6" customWidth="1"/>
    <col min="14767" max="14767" width="19.109375" style="6" customWidth="1"/>
    <col min="14768" max="14768" width="16" style="6" customWidth="1"/>
    <col min="14769" max="14769" width="17" style="6" bestFit="1" customWidth="1"/>
    <col min="14770" max="14770" width="2" style="6" customWidth="1"/>
    <col min="14771" max="14771" width="16" style="6" bestFit="1" customWidth="1"/>
    <col min="14772" max="14772" width="16.33203125" style="6" bestFit="1" customWidth="1"/>
    <col min="14773" max="14773" width="15.6640625" style="6" bestFit="1" customWidth="1"/>
    <col min="14774" max="14774" width="16.33203125" style="6" bestFit="1" customWidth="1"/>
    <col min="14775" max="14775" width="15" style="6" bestFit="1" customWidth="1"/>
    <col min="14776" max="14776" width="2" style="6" customWidth="1"/>
    <col min="14777" max="14777" width="17" style="6" bestFit="1" customWidth="1"/>
    <col min="14778" max="14778" width="16.6640625" style="6" bestFit="1" customWidth="1"/>
    <col min="14779" max="14779" width="17.33203125" style="6" bestFit="1" customWidth="1"/>
    <col min="14780" max="14780" width="16" style="6" bestFit="1" customWidth="1"/>
    <col min="14781" max="14781" width="17" style="6" customWidth="1"/>
    <col min="14782" max="14782" width="2" style="6" customWidth="1"/>
    <col min="14783" max="14783" width="16.33203125" style="6" bestFit="1" customWidth="1"/>
    <col min="14784" max="14784" width="18.88671875" style="6" bestFit="1" customWidth="1"/>
    <col min="14785" max="14785" width="16" style="6" bestFit="1" customWidth="1"/>
    <col min="14786" max="14786" width="16.33203125" style="6" bestFit="1" customWidth="1"/>
    <col min="14787" max="14787" width="15" style="6" bestFit="1" customWidth="1"/>
    <col min="14788" max="14788" width="2" style="6" customWidth="1"/>
    <col min="14789" max="14790" width="17" style="6" bestFit="1" customWidth="1"/>
    <col min="14791" max="14791" width="17.33203125" style="6" bestFit="1" customWidth="1"/>
    <col min="14792" max="14792" width="16" style="6" bestFit="1" customWidth="1"/>
    <col min="14793" max="14793" width="17" style="6" bestFit="1" customWidth="1"/>
    <col min="14794" max="14794" width="2.33203125" style="6" customWidth="1"/>
    <col min="14795" max="14795" width="17" style="6" customWidth="1"/>
    <col min="14796" max="14796" width="17" style="6" bestFit="1" customWidth="1"/>
    <col min="14797" max="14797" width="17.33203125" style="6" bestFit="1" customWidth="1"/>
    <col min="14798" max="14798" width="16" style="6" bestFit="1" customWidth="1"/>
    <col min="14799" max="14799" width="17" style="6" bestFit="1" customWidth="1"/>
    <col min="14800" max="14800" width="3" style="6" customWidth="1"/>
    <col min="14801" max="14801" width="16" style="6" bestFit="1" customWidth="1"/>
    <col min="14802" max="14802" width="17" style="6" bestFit="1" customWidth="1"/>
    <col min="14803" max="14803" width="17.33203125" style="6" bestFit="1" customWidth="1"/>
    <col min="14804" max="14804" width="16" style="6" bestFit="1" customWidth="1"/>
    <col min="14805" max="14805" width="17" style="6" bestFit="1" customWidth="1"/>
    <col min="14806" max="14806" width="3" style="6" customWidth="1"/>
    <col min="14807" max="14808" width="17.88671875" style="6" bestFit="1" customWidth="1"/>
    <col min="14809" max="14809" width="17.33203125" style="6" bestFit="1" customWidth="1"/>
    <col min="14810" max="14810" width="17.88671875" style="6" bestFit="1" customWidth="1"/>
    <col min="14811" max="14811" width="17" style="6" bestFit="1" customWidth="1"/>
    <col min="14812" max="14812" width="17.6640625" style="6" bestFit="1" customWidth="1"/>
    <col min="14813" max="14813" width="2" style="6" customWidth="1"/>
    <col min="14814" max="14814" width="19.88671875" style="6" bestFit="1" customWidth="1"/>
    <col min="14815" max="14815" width="18.88671875" style="6" bestFit="1" customWidth="1"/>
    <col min="14816" max="14816" width="19.5546875" style="6" bestFit="1" customWidth="1"/>
    <col min="14817" max="14988" width="11.44140625" style="6"/>
    <col min="14989" max="14989" width="18.6640625" style="6" customWidth="1"/>
    <col min="14990" max="14990" width="38.5546875" style="6" customWidth="1"/>
    <col min="14991" max="14991" width="21.5546875" style="6" bestFit="1" customWidth="1"/>
    <col min="14992" max="14992" width="20.44140625" style="6" bestFit="1" customWidth="1"/>
    <col min="14993" max="14993" width="17.33203125" style="6" bestFit="1" customWidth="1"/>
    <col min="14994" max="14994" width="18.33203125" style="6" bestFit="1" customWidth="1"/>
    <col min="14995" max="14995" width="17.44140625" style="6" bestFit="1" customWidth="1"/>
    <col min="14996" max="14996" width="1.44140625" style="6" customWidth="1"/>
    <col min="14997" max="14997" width="17.33203125" style="6" customWidth="1"/>
    <col min="14998" max="14998" width="17.88671875" style="6" bestFit="1" customWidth="1"/>
    <col min="14999" max="14999" width="17.33203125" style="6" customWidth="1"/>
    <col min="15000" max="15000" width="17.88671875" style="6" bestFit="1" customWidth="1"/>
    <col min="15001" max="15001" width="17" style="6" bestFit="1" customWidth="1"/>
    <col min="15002" max="15002" width="1.6640625" style="6" customWidth="1"/>
    <col min="15003" max="15003" width="17.33203125" style="6" bestFit="1" customWidth="1"/>
    <col min="15004" max="15004" width="17.88671875" style="6" bestFit="1" customWidth="1"/>
    <col min="15005" max="15005" width="17.33203125" style="6" bestFit="1" customWidth="1"/>
    <col min="15006" max="15006" width="17.88671875" style="6" bestFit="1" customWidth="1"/>
    <col min="15007" max="15007" width="17" style="6" bestFit="1" customWidth="1"/>
    <col min="15008" max="15008" width="2" style="6" customWidth="1"/>
    <col min="15009" max="15010" width="17" style="6" bestFit="1" customWidth="1"/>
    <col min="15011" max="15011" width="17.33203125" style="6" bestFit="1" customWidth="1"/>
    <col min="15012" max="15012" width="16" style="6" customWidth="1"/>
    <col min="15013" max="15013" width="17" style="6" bestFit="1" customWidth="1"/>
    <col min="15014" max="15014" width="2" style="6" customWidth="1"/>
    <col min="15015" max="15016" width="17" style="6" bestFit="1" customWidth="1"/>
    <col min="15017" max="15017" width="17.33203125" style="6" bestFit="1" customWidth="1"/>
    <col min="15018" max="15018" width="16" style="6" customWidth="1"/>
    <col min="15019" max="15019" width="17" style="6" bestFit="1" customWidth="1"/>
    <col min="15020" max="15020" width="2" style="6" customWidth="1"/>
    <col min="15021" max="15021" width="17" style="6" bestFit="1" customWidth="1"/>
    <col min="15022" max="15022" width="25.5546875" style="6" customWidth="1"/>
    <col min="15023" max="15023" width="19.109375" style="6" customWidth="1"/>
    <col min="15024" max="15024" width="16" style="6" customWidth="1"/>
    <col min="15025" max="15025" width="17" style="6" bestFit="1" customWidth="1"/>
    <col min="15026" max="15026" width="2" style="6" customWidth="1"/>
    <col min="15027" max="15027" width="16" style="6" bestFit="1" customWidth="1"/>
    <col min="15028" max="15028" width="16.33203125" style="6" bestFit="1" customWidth="1"/>
    <col min="15029" max="15029" width="15.6640625" style="6" bestFit="1" customWidth="1"/>
    <col min="15030" max="15030" width="16.33203125" style="6" bestFit="1" customWidth="1"/>
    <col min="15031" max="15031" width="15" style="6" bestFit="1" customWidth="1"/>
    <col min="15032" max="15032" width="2" style="6" customWidth="1"/>
    <col min="15033" max="15033" width="17" style="6" bestFit="1" customWidth="1"/>
    <col min="15034" max="15034" width="16.6640625" style="6" bestFit="1" customWidth="1"/>
    <col min="15035" max="15035" width="17.33203125" style="6" bestFit="1" customWidth="1"/>
    <col min="15036" max="15036" width="16" style="6" bestFit="1" customWidth="1"/>
    <col min="15037" max="15037" width="17" style="6" customWidth="1"/>
    <col min="15038" max="15038" width="2" style="6" customWidth="1"/>
    <col min="15039" max="15039" width="16.33203125" style="6" bestFit="1" customWidth="1"/>
    <col min="15040" max="15040" width="18.88671875" style="6" bestFit="1" customWidth="1"/>
    <col min="15041" max="15041" width="16" style="6" bestFit="1" customWidth="1"/>
    <col min="15042" max="15042" width="16.33203125" style="6" bestFit="1" customWidth="1"/>
    <col min="15043" max="15043" width="15" style="6" bestFit="1" customWidth="1"/>
    <col min="15044" max="15044" width="2" style="6" customWidth="1"/>
    <col min="15045" max="15046" width="17" style="6" bestFit="1" customWidth="1"/>
    <col min="15047" max="15047" width="17.33203125" style="6" bestFit="1" customWidth="1"/>
    <col min="15048" max="15048" width="16" style="6" bestFit="1" customWidth="1"/>
    <col min="15049" max="15049" width="17" style="6" bestFit="1" customWidth="1"/>
    <col min="15050" max="15050" width="2.33203125" style="6" customWidth="1"/>
    <col min="15051" max="15051" width="17" style="6" customWidth="1"/>
    <col min="15052" max="15052" width="17" style="6" bestFit="1" customWidth="1"/>
    <col min="15053" max="15053" width="17.33203125" style="6" bestFit="1" customWidth="1"/>
    <col min="15054" max="15054" width="16" style="6" bestFit="1" customWidth="1"/>
    <col min="15055" max="15055" width="17" style="6" bestFit="1" customWidth="1"/>
    <col min="15056" max="15056" width="3" style="6" customWidth="1"/>
    <col min="15057" max="15057" width="16" style="6" bestFit="1" customWidth="1"/>
    <col min="15058" max="15058" width="17" style="6" bestFit="1" customWidth="1"/>
    <col min="15059" max="15059" width="17.33203125" style="6" bestFit="1" customWidth="1"/>
    <col min="15060" max="15060" width="16" style="6" bestFit="1" customWidth="1"/>
    <col min="15061" max="15061" width="17" style="6" bestFit="1" customWidth="1"/>
    <col min="15062" max="15062" width="3" style="6" customWidth="1"/>
    <col min="15063" max="15064" width="17.88671875" style="6" bestFit="1" customWidth="1"/>
    <col min="15065" max="15065" width="17.33203125" style="6" bestFit="1" customWidth="1"/>
    <col min="15066" max="15066" width="17.88671875" style="6" bestFit="1" customWidth="1"/>
    <col min="15067" max="15067" width="17" style="6" bestFit="1" customWidth="1"/>
    <col min="15068" max="15068" width="17.6640625" style="6" bestFit="1" customWidth="1"/>
    <col min="15069" max="15069" width="2" style="6" customWidth="1"/>
    <col min="15070" max="15070" width="19.88671875" style="6" bestFit="1" customWidth="1"/>
    <col min="15071" max="15071" width="18.88671875" style="6" bestFit="1" customWidth="1"/>
    <col min="15072" max="15072" width="19.5546875" style="6" bestFit="1" customWidth="1"/>
    <col min="15073" max="15244" width="11.44140625" style="6"/>
    <col min="15245" max="15245" width="18.6640625" style="6" customWidth="1"/>
    <col min="15246" max="15246" width="38.5546875" style="6" customWidth="1"/>
    <col min="15247" max="15247" width="21.5546875" style="6" bestFit="1" customWidth="1"/>
    <col min="15248" max="15248" width="20.44140625" style="6" bestFit="1" customWidth="1"/>
    <col min="15249" max="15249" width="17.33203125" style="6" bestFit="1" customWidth="1"/>
    <col min="15250" max="15250" width="18.33203125" style="6" bestFit="1" customWidth="1"/>
    <col min="15251" max="15251" width="17.44140625" style="6" bestFit="1" customWidth="1"/>
    <col min="15252" max="15252" width="1.44140625" style="6" customWidth="1"/>
    <col min="15253" max="15253" width="17.33203125" style="6" customWidth="1"/>
    <col min="15254" max="15254" width="17.88671875" style="6" bestFit="1" customWidth="1"/>
    <col min="15255" max="15255" width="17.33203125" style="6" customWidth="1"/>
    <col min="15256" max="15256" width="17.88671875" style="6" bestFit="1" customWidth="1"/>
    <col min="15257" max="15257" width="17" style="6" bestFit="1" customWidth="1"/>
    <col min="15258" max="15258" width="1.6640625" style="6" customWidth="1"/>
    <col min="15259" max="15259" width="17.33203125" style="6" bestFit="1" customWidth="1"/>
    <col min="15260" max="15260" width="17.88671875" style="6" bestFit="1" customWidth="1"/>
    <col min="15261" max="15261" width="17.33203125" style="6" bestFit="1" customWidth="1"/>
    <col min="15262" max="15262" width="17.88671875" style="6" bestFit="1" customWidth="1"/>
    <col min="15263" max="15263" width="17" style="6" bestFit="1" customWidth="1"/>
    <col min="15264" max="15264" width="2" style="6" customWidth="1"/>
    <col min="15265" max="15266" width="17" style="6" bestFit="1" customWidth="1"/>
    <col min="15267" max="15267" width="17.33203125" style="6" bestFit="1" customWidth="1"/>
    <col min="15268" max="15268" width="16" style="6" customWidth="1"/>
    <col min="15269" max="15269" width="17" style="6" bestFit="1" customWidth="1"/>
    <col min="15270" max="15270" width="2" style="6" customWidth="1"/>
    <col min="15271" max="15272" width="17" style="6" bestFit="1" customWidth="1"/>
    <col min="15273" max="15273" width="17.33203125" style="6" bestFit="1" customWidth="1"/>
    <col min="15274" max="15274" width="16" style="6" customWidth="1"/>
    <col min="15275" max="15275" width="17" style="6" bestFit="1" customWidth="1"/>
    <col min="15276" max="15276" width="2" style="6" customWidth="1"/>
    <col min="15277" max="15277" width="17" style="6" bestFit="1" customWidth="1"/>
    <col min="15278" max="15278" width="25.5546875" style="6" customWidth="1"/>
    <col min="15279" max="15279" width="19.109375" style="6" customWidth="1"/>
    <col min="15280" max="15280" width="16" style="6" customWidth="1"/>
    <col min="15281" max="15281" width="17" style="6" bestFit="1" customWidth="1"/>
    <col min="15282" max="15282" width="2" style="6" customWidth="1"/>
    <col min="15283" max="15283" width="16" style="6" bestFit="1" customWidth="1"/>
    <col min="15284" max="15284" width="16.33203125" style="6" bestFit="1" customWidth="1"/>
    <col min="15285" max="15285" width="15.6640625" style="6" bestFit="1" customWidth="1"/>
    <col min="15286" max="15286" width="16.33203125" style="6" bestFit="1" customWidth="1"/>
    <col min="15287" max="15287" width="15" style="6" bestFit="1" customWidth="1"/>
    <col min="15288" max="15288" width="2" style="6" customWidth="1"/>
    <col min="15289" max="15289" width="17" style="6" bestFit="1" customWidth="1"/>
    <col min="15290" max="15290" width="16.6640625" style="6" bestFit="1" customWidth="1"/>
    <col min="15291" max="15291" width="17.33203125" style="6" bestFit="1" customWidth="1"/>
    <col min="15292" max="15292" width="16" style="6" bestFit="1" customWidth="1"/>
    <col min="15293" max="15293" width="17" style="6" customWidth="1"/>
    <col min="15294" max="15294" width="2" style="6" customWidth="1"/>
    <col min="15295" max="15295" width="16.33203125" style="6" bestFit="1" customWidth="1"/>
    <col min="15296" max="15296" width="18.88671875" style="6" bestFit="1" customWidth="1"/>
    <col min="15297" max="15297" width="16" style="6" bestFit="1" customWidth="1"/>
    <col min="15298" max="15298" width="16.33203125" style="6" bestFit="1" customWidth="1"/>
    <col min="15299" max="15299" width="15" style="6" bestFit="1" customWidth="1"/>
    <col min="15300" max="15300" width="2" style="6" customWidth="1"/>
    <col min="15301" max="15302" width="17" style="6" bestFit="1" customWidth="1"/>
    <col min="15303" max="15303" width="17.33203125" style="6" bestFit="1" customWidth="1"/>
    <col min="15304" max="15304" width="16" style="6" bestFit="1" customWidth="1"/>
    <col min="15305" max="15305" width="17" style="6" bestFit="1" customWidth="1"/>
    <col min="15306" max="15306" width="2.33203125" style="6" customWidth="1"/>
    <col min="15307" max="15307" width="17" style="6" customWidth="1"/>
    <col min="15308" max="15308" width="17" style="6" bestFit="1" customWidth="1"/>
    <col min="15309" max="15309" width="17.33203125" style="6" bestFit="1" customWidth="1"/>
    <col min="15310" max="15310" width="16" style="6" bestFit="1" customWidth="1"/>
    <col min="15311" max="15311" width="17" style="6" bestFit="1" customWidth="1"/>
    <col min="15312" max="15312" width="3" style="6" customWidth="1"/>
    <col min="15313" max="15313" width="16" style="6" bestFit="1" customWidth="1"/>
    <col min="15314" max="15314" width="17" style="6" bestFit="1" customWidth="1"/>
    <col min="15315" max="15315" width="17.33203125" style="6" bestFit="1" customWidth="1"/>
    <col min="15316" max="15316" width="16" style="6" bestFit="1" customWidth="1"/>
    <col min="15317" max="15317" width="17" style="6" bestFit="1" customWidth="1"/>
    <col min="15318" max="15318" width="3" style="6" customWidth="1"/>
    <col min="15319" max="15320" width="17.88671875" style="6" bestFit="1" customWidth="1"/>
    <col min="15321" max="15321" width="17.33203125" style="6" bestFit="1" customWidth="1"/>
    <col min="15322" max="15322" width="17.88671875" style="6" bestFit="1" customWidth="1"/>
    <col min="15323" max="15323" width="17" style="6" bestFit="1" customWidth="1"/>
    <col min="15324" max="15324" width="17.6640625" style="6" bestFit="1" customWidth="1"/>
    <col min="15325" max="15325" width="2" style="6" customWidth="1"/>
    <col min="15326" max="15326" width="19.88671875" style="6" bestFit="1" customWidth="1"/>
    <col min="15327" max="15327" width="18.88671875" style="6" bestFit="1" customWidth="1"/>
    <col min="15328" max="15328" width="19.5546875" style="6" bestFit="1" customWidth="1"/>
    <col min="15329" max="15500" width="11.44140625" style="6"/>
    <col min="15501" max="15501" width="18.6640625" style="6" customWidth="1"/>
    <col min="15502" max="15502" width="38.5546875" style="6" customWidth="1"/>
    <col min="15503" max="15503" width="21.5546875" style="6" bestFit="1" customWidth="1"/>
    <col min="15504" max="15504" width="20.44140625" style="6" bestFit="1" customWidth="1"/>
    <col min="15505" max="15505" width="17.33203125" style="6" bestFit="1" customWidth="1"/>
    <col min="15506" max="15506" width="18.33203125" style="6" bestFit="1" customWidth="1"/>
    <col min="15507" max="15507" width="17.44140625" style="6" bestFit="1" customWidth="1"/>
    <col min="15508" max="15508" width="1.44140625" style="6" customWidth="1"/>
    <col min="15509" max="15509" width="17.33203125" style="6" customWidth="1"/>
    <col min="15510" max="15510" width="17.88671875" style="6" bestFit="1" customWidth="1"/>
    <col min="15511" max="15511" width="17.33203125" style="6" customWidth="1"/>
    <col min="15512" max="15512" width="17.88671875" style="6" bestFit="1" customWidth="1"/>
    <col min="15513" max="15513" width="17" style="6" bestFit="1" customWidth="1"/>
    <col min="15514" max="15514" width="1.6640625" style="6" customWidth="1"/>
    <col min="15515" max="15515" width="17.33203125" style="6" bestFit="1" customWidth="1"/>
    <col min="15516" max="15516" width="17.88671875" style="6" bestFit="1" customWidth="1"/>
    <col min="15517" max="15517" width="17.33203125" style="6" bestFit="1" customWidth="1"/>
    <col min="15518" max="15518" width="17.88671875" style="6" bestFit="1" customWidth="1"/>
    <col min="15519" max="15519" width="17" style="6" bestFit="1" customWidth="1"/>
    <col min="15520" max="15520" width="2" style="6" customWidth="1"/>
    <col min="15521" max="15522" width="17" style="6" bestFit="1" customWidth="1"/>
    <col min="15523" max="15523" width="17.33203125" style="6" bestFit="1" customWidth="1"/>
    <col min="15524" max="15524" width="16" style="6" customWidth="1"/>
    <col min="15525" max="15525" width="17" style="6" bestFit="1" customWidth="1"/>
    <col min="15526" max="15526" width="2" style="6" customWidth="1"/>
    <col min="15527" max="15528" width="17" style="6" bestFit="1" customWidth="1"/>
    <col min="15529" max="15529" width="17.33203125" style="6" bestFit="1" customWidth="1"/>
    <col min="15530" max="15530" width="16" style="6" customWidth="1"/>
    <col min="15531" max="15531" width="17" style="6" bestFit="1" customWidth="1"/>
    <col min="15532" max="15532" width="2" style="6" customWidth="1"/>
    <col min="15533" max="15533" width="17" style="6" bestFit="1" customWidth="1"/>
    <col min="15534" max="15534" width="25.5546875" style="6" customWidth="1"/>
    <col min="15535" max="15535" width="19.109375" style="6" customWidth="1"/>
    <col min="15536" max="15536" width="16" style="6" customWidth="1"/>
    <col min="15537" max="15537" width="17" style="6" bestFit="1" customWidth="1"/>
    <col min="15538" max="15538" width="2" style="6" customWidth="1"/>
    <col min="15539" max="15539" width="16" style="6" bestFit="1" customWidth="1"/>
    <col min="15540" max="15540" width="16.33203125" style="6" bestFit="1" customWidth="1"/>
    <col min="15541" max="15541" width="15.6640625" style="6" bestFit="1" customWidth="1"/>
    <col min="15542" max="15542" width="16.33203125" style="6" bestFit="1" customWidth="1"/>
    <col min="15543" max="15543" width="15" style="6" bestFit="1" customWidth="1"/>
    <col min="15544" max="15544" width="2" style="6" customWidth="1"/>
    <col min="15545" max="15545" width="17" style="6" bestFit="1" customWidth="1"/>
    <col min="15546" max="15546" width="16.6640625" style="6" bestFit="1" customWidth="1"/>
    <col min="15547" max="15547" width="17.33203125" style="6" bestFit="1" customWidth="1"/>
    <col min="15548" max="15548" width="16" style="6" bestFit="1" customWidth="1"/>
    <col min="15549" max="15549" width="17" style="6" customWidth="1"/>
    <col min="15550" max="15550" width="2" style="6" customWidth="1"/>
    <col min="15551" max="15551" width="16.33203125" style="6" bestFit="1" customWidth="1"/>
    <col min="15552" max="15552" width="18.88671875" style="6" bestFit="1" customWidth="1"/>
    <col min="15553" max="15553" width="16" style="6" bestFit="1" customWidth="1"/>
    <col min="15554" max="15554" width="16.33203125" style="6" bestFit="1" customWidth="1"/>
    <col min="15555" max="15555" width="15" style="6" bestFit="1" customWidth="1"/>
    <col min="15556" max="15556" width="2" style="6" customWidth="1"/>
    <col min="15557" max="15558" width="17" style="6" bestFit="1" customWidth="1"/>
    <col min="15559" max="15559" width="17.33203125" style="6" bestFit="1" customWidth="1"/>
    <col min="15560" max="15560" width="16" style="6" bestFit="1" customWidth="1"/>
    <col min="15561" max="15561" width="17" style="6" bestFit="1" customWidth="1"/>
    <col min="15562" max="15562" width="2.33203125" style="6" customWidth="1"/>
    <col min="15563" max="15563" width="17" style="6" customWidth="1"/>
    <col min="15564" max="15564" width="17" style="6" bestFit="1" customWidth="1"/>
    <col min="15565" max="15565" width="17.33203125" style="6" bestFit="1" customWidth="1"/>
    <col min="15566" max="15566" width="16" style="6" bestFit="1" customWidth="1"/>
    <col min="15567" max="15567" width="17" style="6" bestFit="1" customWidth="1"/>
    <col min="15568" max="15568" width="3" style="6" customWidth="1"/>
    <col min="15569" max="15569" width="16" style="6" bestFit="1" customWidth="1"/>
    <col min="15570" max="15570" width="17" style="6" bestFit="1" customWidth="1"/>
    <col min="15571" max="15571" width="17.33203125" style="6" bestFit="1" customWidth="1"/>
    <col min="15572" max="15572" width="16" style="6" bestFit="1" customWidth="1"/>
    <col min="15573" max="15573" width="17" style="6" bestFit="1" customWidth="1"/>
    <col min="15574" max="15574" width="3" style="6" customWidth="1"/>
    <col min="15575" max="15576" width="17.88671875" style="6" bestFit="1" customWidth="1"/>
    <col min="15577" max="15577" width="17.33203125" style="6" bestFit="1" customWidth="1"/>
    <col min="15578" max="15578" width="17.88671875" style="6" bestFit="1" customWidth="1"/>
    <col min="15579" max="15579" width="17" style="6" bestFit="1" customWidth="1"/>
    <col min="15580" max="15580" width="17.6640625" style="6" bestFit="1" customWidth="1"/>
    <col min="15581" max="15581" width="2" style="6" customWidth="1"/>
    <col min="15582" max="15582" width="19.88671875" style="6" bestFit="1" customWidth="1"/>
    <col min="15583" max="15583" width="18.88671875" style="6" bestFit="1" customWidth="1"/>
    <col min="15584" max="15584" width="19.5546875" style="6" bestFit="1" customWidth="1"/>
    <col min="15585" max="15756" width="11.44140625" style="6"/>
    <col min="15757" max="15757" width="18.6640625" style="6" customWidth="1"/>
    <col min="15758" max="15758" width="38.5546875" style="6" customWidth="1"/>
    <col min="15759" max="15759" width="21.5546875" style="6" bestFit="1" customWidth="1"/>
    <col min="15760" max="15760" width="20.44140625" style="6" bestFit="1" customWidth="1"/>
    <col min="15761" max="15761" width="17.33203125" style="6" bestFit="1" customWidth="1"/>
    <col min="15762" max="15762" width="18.33203125" style="6" bestFit="1" customWidth="1"/>
    <col min="15763" max="15763" width="17.44140625" style="6" bestFit="1" customWidth="1"/>
    <col min="15764" max="15764" width="1.44140625" style="6" customWidth="1"/>
    <col min="15765" max="15765" width="17.33203125" style="6" customWidth="1"/>
    <col min="15766" max="15766" width="17.88671875" style="6" bestFit="1" customWidth="1"/>
    <col min="15767" max="15767" width="17.33203125" style="6" customWidth="1"/>
    <col min="15768" max="15768" width="17.88671875" style="6" bestFit="1" customWidth="1"/>
    <col min="15769" max="15769" width="17" style="6" bestFit="1" customWidth="1"/>
    <col min="15770" max="15770" width="1.6640625" style="6" customWidth="1"/>
    <col min="15771" max="15771" width="17.33203125" style="6" bestFit="1" customWidth="1"/>
    <col min="15772" max="15772" width="17.88671875" style="6" bestFit="1" customWidth="1"/>
    <col min="15773" max="15773" width="17.33203125" style="6" bestFit="1" customWidth="1"/>
    <col min="15774" max="15774" width="17.88671875" style="6" bestFit="1" customWidth="1"/>
    <col min="15775" max="15775" width="17" style="6" bestFit="1" customWidth="1"/>
    <col min="15776" max="15776" width="2" style="6" customWidth="1"/>
    <col min="15777" max="15778" width="17" style="6" bestFit="1" customWidth="1"/>
    <col min="15779" max="15779" width="17.33203125" style="6" bestFit="1" customWidth="1"/>
    <col min="15780" max="15780" width="16" style="6" customWidth="1"/>
    <col min="15781" max="15781" width="17" style="6" bestFit="1" customWidth="1"/>
    <col min="15782" max="15782" width="2" style="6" customWidth="1"/>
    <col min="15783" max="15784" width="17" style="6" bestFit="1" customWidth="1"/>
    <col min="15785" max="15785" width="17.33203125" style="6" bestFit="1" customWidth="1"/>
    <col min="15786" max="15786" width="16" style="6" customWidth="1"/>
    <col min="15787" max="15787" width="17" style="6" bestFit="1" customWidth="1"/>
    <col min="15788" max="15788" width="2" style="6" customWidth="1"/>
    <col min="15789" max="15789" width="17" style="6" bestFit="1" customWidth="1"/>
    <col min="15790" max="15790" width="25.5546875" style="6" customWidth="1"/>
    <col min="15791" max="15791" width="19.109375" style="6" customWidth="1"/>
    <col min="15792" max="15792" width="16" style="6" customWidth="1"/>
    <col min="15793" max="15793" width="17" style="6" bestFit="1" customWidth="1"/>
    <col min="15794" max="15794" width="2" style="6" customWidth="1"/>
    <col min="15795" max="15795" width="16" style="6" bestFit="1" customWidth="1"/>
    <col min="15796" max="15796" width="16.33203125" style="6" bestFit="1" customWidth="1"/>
    <col min="15797" max="15797" width="15.6640625" style="6" bestFit="1" customWidth="1"/>
    <col min="15798" max="15798" width="16.33203125" style="6" bestFit="1" customWidth="1"/>
    <col min="15799" max="15799" width="15" style="6" bestFit="1" customWidth="1"/>
    <col min="15800" max="15800" width="2" style="6" customWidth="1"/>
    <col min="15801" max="15801" width="17" style="6" bestFit="1" customWidth="1"/>
    <col min="15802" max="15802" width="16.6640625" style="6" bestFit="1" customWidth="1"/>
    <col min="15803" max="15803" width="17.33203125" style="6" bestFit="1" customWidth="1"/>
    <col min="15804" max="15804" width="16" style="6" bestFit="1" customWidth="1"/>
    <col min="15805" max="15805" width="17" style="6" customWidth="1"/>
    <col min="15806" max="15806" width="2" style="6" customWidth="1"/>
    <col min="15807" max="15807" width="16.33203125" style="6" bestFit="1" customWidth="1"/>
    <col min="15808" max="15808" width="18.88671875" style="6" bestFit="1" customWidth="1"/>
    <col min="15809" max="15809" width="16" style="6" bestFit="1" customWidth="1"/>
    <col min="15810" max="15810" width="16.33203125" style="6" bestFit="1" customWidth="1"/>
    <col min="15811" max="15811" width="15" style="6" bestFit="1" customWidth="1"/>
    <col min="15812" max="15812" width="2" style="6" customWidth="1"/>
    <col min="15813" max="15814" width="17" style="6" bestFit="1" customWidth="1"/>
    <col min="15815" max="15815" width="17.33203125" style="6" bestFit="1" customWidth="1"/>
    <col min="15816" max="15816" width="16" style="6" bestFit="1" customWidth="1"/>
    <col min="15817" max="15817" width="17" style="6" bestFit="1" customWidth="1"/>
    <col min="15818" max="15818" width="2.33203125" style="6" customWidth="1"/>
    <col min="15819" max="15819" width="17" style="6" customWidth="1"/>
    <col min="15820" max="15820" width="17" style="6" bestFit="1" customWidth="1"/>
    <col min="15821" max="15821" width="17.33203125" style="6" bestFit="1" customWidth="1"/>
    <col min="15822" max="15822" width="16" style="6" bestFit="1" customWidth="1"/>
    <col min="15823" max="15823" width="17" style="6" bestFit="1" customWidth="1"/>
    <col min="15824" max="15824" width="3" style="6" customWidth="1"/>
    <col min="15825" max="15825" width="16" style="6" bestFit="1" customWidth="1"/>
    <col min="15826" max="15826" width="17" style="6" bestFit="1" customWidth="1"/>
    <col min="15827" max="15827" width="17.33203125" style="6" bestFit="1" customWidth="1"/>
    <col min="15828" max="15828" width="16" style="6" bestFit="1" customWidth="1"/>
    <col min="15829" max="15829" width="17" style="6" bestFit="1" customWidth="1"/>
    <col min="15830" max="15830" width="3" style="6" customWidth="1"/>
    <col min="15831" max="15832" width="17.88671875" style="6" bestFit="1" customWidth="1"/>
    <col min="15833" max="15833" width="17.33203125" style="6" bestFit="1" customWidth="1"/>
    <col min="15834" max="15834" width="17.88671875" style="6" bestFit="1" customWidth="1"/>
    <col min="15835" max="15835" width="17" style="6" bestFit="1" customWidth="1"/>
    <col min="15836" max="15836" width="17.6640625" style="6" bestFit="1" customWidth="1"/>
    <col min="15837" max="15837" width="2" style="6" customWidth="1"/>
    <col min="15838" max="15838" width="19.88671875" style="6" bestFit="1" customWidth="1"/>
    <col min="15839" max="15839" width="18.88671875" style="6" bestFit="1" customWidth="1"/>
    <col min="15840" max="15840" width="19.5546875" style="6" bestFit="1" customWidth="1"/>
    <col min="15841" max="16012" width="11.44140625" style="6"/>
    <col min="16013" max="16013" width="18.6640625" style="6" customWidth="1"/>
    <col min="16014" max="16014" width="38.5546875" style="6" customWidth="1"/>
    <col min="16015" max="16015" width="21.5546875" style="6" bestFit="1" customWidth="1"/>
    <col min="16016" max="16016" width="20.44140625" style="6" bestFit="1" customWidth="1"/>
    <col min="16017" max="16017" width="17.33203125" style="6" bestFit="1" customWidth="1"/>
    <col min="16018" max="16018" width="18.33203125" style="6" bestFit="1" customWidth="1"/>
    <col min="16019" max="16019" width="17.44140625" style="6" bestFit="1" customWidth="1"/>
    <col min="16020" max="16020" width="1.44140625" style="6" customWidth="1"/>
    <col min="16021" max="16021" width="17.33203125" style="6" customWidth="1"/>
    <col min="16022" max="16022" width="17.88671875" style="6" bestFit="1" customWidth="1"/>
    <col min="16023" max="16023" width="17.33203125" style="6" customWidth="1"/>
    <col min="16024" max="16024" width="17.88671875" style="6" bestFit="1" customWidth="1"/>
    <col min="16025" max="16025" width="17" style="6" bestFit="1" customWidth="1"/>
    <col min="16026" max="16026" width="1.6640625" style="6" customWidth="1"/>
    <col min="16027" max="16027" width="17.33203125" style="6" bestFit="1" customWidth="1"/>
    <col min="16028" max="16028" width="17.88671875" style="6" bestFit="1" customWidth="1"/>
    <col min="16029" max="16029" width="17.33203125" style="6" bestFit="1" customWidth="1"/>
    <col min="16030" max="16030" width="17.88671875" style="6" bestFit="1" customWidth="1"/>
    <col min="16031" max="16031" width="17" style="6" bestFit="1" customWidth="1"/>
    <col min="16032" max="16032" width="2" style="6" customWidth="1"/>
    <col min="16033" max="16034" width="17" style="6" bestFit="1" customWidth="1"/>
    <col min="16035" max="16035" width="17.33203125" style="6" bestFit="1" customWidth="1"/>
    <col min="16036" max="16036" width="16" style="6" customWidth="1"/>
    <col min="16037" max="16037" width="17" style="6" bestFit="1" customWidth="1"/>
    <col min="16038" max="16038" width="2" style="6" customWidth="1"/>
    <col min="16039" max="16040" width="17" style="6" bestFit="1" customWidth="1"/>
    <col min="16041" max="16041" width="17.33203125" style="6" bestFit="1" customWidth="1"/>
    <col min="16042" max="16042" width="16" style="6" customWidth="1"/>
    <col min="16043" max="16043" width="17" style="6" bestFit="1" customWidth="1"/>
    <col min="16044" max="16044" width="2" style="6" customWidth="1"/>
    <col min="16045" max="16045" width="17" style="6" bestFit="1" customWidth="1"/>
    <col min="16046" max="16046" width="25.5546875" style="6" customWidth="1"/>
    <col min="16047" max="16047" width="19.109375" style="6" customWidth="1"/>
    <col min="16048" max="16048" width="16" style="6" customWidth="1"/>
    <col min="16049" max="16049" width="17" style="6" bestFit="1" customWidth="1"/>
    <col min="16050" max="16050" width="2" style="6" customWidth="1"/>
    <col min="16051" max="16051" width="16" style="6" bestFit="1" customWidth="1"/>
    <col min="16052" max="16052" width="16.33203125" style="6" bestFit="1" customWidth="1"/>
    <col min="16053" max="16053" width="15.6640625" style="6" bestFit="1" customWidth="1"/>
    <col min="16054" max="16054" width="16.33203125" style="6" bestFit="1" customWidth="1"/>
    <col min="16055" max="16055" width="15" style="6" bestFit="1" customWidth="1"/>
    <col min="16056" max="16056" width="2" style="6" customWidth="1"/>
    <col min="16057" max="16057" width="17" style="6" bestFit="1" customWidth="1"/>
    <col min="16058" max="16058" width="16.6640625" style="6" bestFit="1" customWidth="1"/>
    <col min="16059" max="16059" width="17.33203125" style="6" bestFit="1" customWidth="1"/>
    <col min="16060" max="16060" width="16" style="6" bestFit="1" customWidth="1"/>
    <col min="16061" max="16061" width="17" style="6" customWidth="1"/>
    <col min="16062" max="16062" width="2" style="6" customWidth="1"/>
    <col min="16063" max="16063" width="16.33203125" style="6" bestFit="1" customWidth="1"/>
    <col min="16064" max="16064" width="18.88671875" style="6" bestFit="1" customWidth="1"/>
    <col min="16065" max="16065" width="16" style="6" bestFit="1" customWidth="1"/>
    <col min="16066" max="16066" width="16.33203125" style="6" bestFit="1" customWidth="1"/>
    <col min="16067" max="16067" width="15" style="6" bestFit="1" customWidth="1"/>
    <col min="16068" max="16068" width="2" style="6" customWidth="1"/>
    <col min="16069" max="16070" width="17" style="6" bestFit="1" customWidth="1"/>
    <col min="16071" max="16071" width="17.33203125" style="6" bestFit="1" customWidth="1"/>
    <col min="16072" max="16072" width="16" style="6" bestFit="1" customWidth="1"/>
    <col min="16073" max="16073" width="17" style="6" bestFit="1" customWidth="1"/>
    <col min="16074" max="16074" width="2.33203125" style="6" customWidth="1"/>
    <col min="16075" max="16075" width="17" style="6" customWidth="1"/>
    <col min="16076" max="16076" width="17" style="6" bestFit="1" customWidth="1"/>
    <col min="16077" max="16077" width="17.33203125" style="6" bestFit="1" customWidth="1"/>
    <col min="16078" max="16078" width="16" style="6" bestFit="1" customWidth="1"/>
    <col min="16079" max="16079" width="17" style="6" bestFit="1" customWidth="1"/>
    <col min="16080" max="16080" width="3" style="6" customWidth="1"/>
    <col min="16081" max="16081" width="16" style="6" bestFit="1" customWidth="1"/>
    <col min="16082" max="16082" width="17" style="6" bestFit="1" customWidth="1"/>
    <col min="16083" max="16083" width="17.33203125" style="6" bestFit="1" customWidth="1"/>
    <col min="16084" max="16084" width="16" style="6" bestFit="1" customWidth="1"/>
    <col min="16085" max="16085" width="17" style="6" bestFit="1" customWidth="1"/>
    <col min="16086" max="16086" width="3" style="6" customWidth="1"/>
    <col min="16087" max="16088" width="17.88671875" style="6" bestFit="1" customWidth="1"/>
    <col min="16089" max="16089" width="17.33203125" style="6" bestFit="1" customWidth="1"/>
    <col min="16090" max="16090" width="17.88671875" style="6" bestFit="1" customWidth="1"/>
    <col min="16091" max="16091" width="17" style="6" bestFit="1" customWidth="1"/>
    <col min="16092" max="16092" width="17.6640625" style="6" bestFit="1" customWidth="1"/>
    <col min="16093" max="16093" width="2" style="6" customWidth="1"/>
    <col min="16094" max="16094" width="19.88671875" style="6" bestFit="1" customWidth="1"/>
    <col min="16095" max="16095" width="18.88671875" style="6" bestFit="1" customWidth="1"/>
    <col min="16096" max="16096" width="19.5546875" style="6" bestFit="1" customWidth="1"/>
    <col min="16097" max="16328" width="11.44140625" style="6"/>
    <col min="16329" max="16384" width="11.44140625" style="6" customWidth="1"/>
  </cols>
  <sheetData>
    <row r="1" spans="2:12" x14ac:dyDescent="0.25">
      <c r="B1" s="77"/>
      <c r="C1" s="77"/>
      <c r="D1" s="77"/>
      <c r="E1" s="77"/>
      <c r="F1" s="77"/>
      <c r="G1" s="31"/>
      <c r="H1" s="31"/>
    </row>
    <row r="2" spans="2:12" ht="18" customHeight="1" x14ac:dyDescent="0.3">
      <c r="B2" s="78"/>
      <c r="C2" s="545" t="s">
        <v>222</v>
      </c>
      <c r="D2" s="546"/>
      <c r="E2" s="546"/>
      <c r="F2" s="546"/>
      <c r="G2" s="546"/>
      <c r="H2" s="546"/>
      <c r="I2" s="546"/>
      <c r="J2" s="546"/>
      <c r="K2" s="547"/>
      <c r="L2" s="542" t="s">
        <v>186</v>
      </c>
    </row>
    <row r="3" spans="2:12" ht="18" customHeight="1" x14ac:dyDescent="0.3">
      <c r="B3" s="79"/>
      <c r="C3" s="548"/>
      <c r="D3" s="549"/>
      <c r="E3" s="549"/>
      <c r="F3" s="549"/>
      <c r="G3" s="549"/>
      <c r="H3" s="549"/>
      <c r="I3" s="549"/>
      <c r="J3" s="549"/>
      <c r="K3" s="550"/>
      <c r="L3" s="543"/>
    </row>
    <row r="4" spans="2:12" ht="18" customHeight="1" x14ac:dyDescent="0.3">
      <c r="B4" s="79"/>
      <c r="C4" s="548"/>
      <c r="D4" s="549"/>
      <c r="E4" s="549"/>
      <c r="F4" s="549"/>
      <c r="G4" s="549"/>
      <c r="H4" s="549"/>
      <c r="I4" s="549"/>
      <c r="J4" s="549"/>
      <c r="K4" s="550"/>
      <c r="L4" s="543"/>
    </row>
    <row r="5" spans="2:12" ht="18" customHeight="1" x14ac:dyDescent="0.3">
      <c r="B5" s="80"/>
      <c r="C5" s="551"/>
      <c r="D5" s="552"/>
      <c r="E5" s="552"/>
      <c r="F5" s="552"/>
      <c r="G5" s="552"/>
      <c r="H5" s="552"/>
      <c r="I5" s="552"/>
      <c r="J5" s="552"/>
      <c r="K5" s="553"/>
      <c r="L5" s="544"/>
    </row>
    <row r="6" spans="2:12" ht="25.8" x14ac:dyDescent="0.3">
      <c r="B6" s="9"/>
      <c r="C6" s="81"/>
      <c r="D6" s="81"/>
      <c r="E6" s="81"/>
      <c r="F6" s="81"/>
      <c r="G6" s="81"/>
      <c r="H6" s="81"/>
      <c r="I6" s="81"/>
      <c r="J6" s="83"/>
      <c r="K6" s="83"/>
    </row>
    <row r="7" spans="2:12" ht="25.8" x14ac:dyDescent="0.3">
      <c r="B7" s="9"/>
      <c r="C7" s="81"/>
      <c r="D7" s="81"/>
      <c r="E7" s="81"/>
      <c r="F7" s="81"/>
      <c r="G7" s="81"/>
      <c r="H7" s="81"/>
      <c r="I7" s="81"/>
      <c r="J7" s="83"/>
      <c r="K7" s="83"/>
    </row>
    <row r="8" spans="2:12" ht="25.8" x14ac:dyDescent="0.3">
      <c r="B8" s="9"/>
      <c r="C8" s="81"/>
      <c r="D8" s="81"/>
      <c r="E8" s="81"/>
      <c r="F8" s="81"/>
      <c r="G8" s="81"/>
      <c r="H8" s="81"/>
      <c r="I8" s="81"/>
      <c r="J8" s="83"/>
      <c r="K8" s="83"/>
    </row>
    <row r="9" spans="2:12" ht="25.8" x14ac:dyDescent="0.3">
      <c r="B9" s="9"/>
      <c r="C9" s="81"/>
      <c r="D9" s="81"/>
      <c r="E9" s="81"/>
      <c r="F9" s="81"/>
      <c r="G9" s="81"/>
      <c r="H9" s="81"/>
      <c r="I9" s="81"/>
      <c r="J9" s="83"/>
      <c r="K9" s="83"/>
    </row>
    <row r="10" spans="2:12" ht="25.8" x14ac:dyDescent="0.5">
      <c r="B10" s="97" t="s">
        <v>176</v>
      </c>
      <c r="C10" s="81"/>
      <c r="D10" s="81"/>
      <c r="E10" s="81"/>
      <c r="F10" s="81"/>
      <c r="G10" s="81"/>
      <c r="H10" s="81"/>
      <c r="I10" s="81"/>
      <c r="J10" s="83"/>
      <c r="K10" s="83"/>
    </row>
    <row r="11" spans="2:12" ht="18" thickBot="1" x14ac:dyDescent="0.3">
      <c r="B11" s="87"/>
      <c r="C11" s="87"/>
      <c r="D11" s="87"/>
      <c r="E11" s="87"/>
      <c r="F11" s="87"/>
      <c r="G11" s="88"/>
      <c r="H11" s="88"/>
      <c r="I11" s="6"/>
      <c r="J11" s="6"/>
      <c r="K11" s="6"/>
    </row>
    <row r="12" spans="2:12" s="7" customFormat="1" ht="36" customHeight="1" thickTop="1" x14ac:dyDescent="0.3">
      <c r="B12" s="558" t="s">
        <v>153</v>
      </c>
      <c r="C12" s="555" t="s">
        <v>220</v>
      </c>
      <c r="D12" s="556"/>
      <c r="E12" s="557"/>
      <c r="F12" s="556" t="s">
        <v>221</v>
      </c>
      <c r="G12" s="556"/>
      <c r="H12" s="557"/>
      <c r="I12" s="733" t="s">
        <v>243</v>
      </c>
      <c r="J12" s="6"/>
      <c r="K12" s="6"/>
      <c r="L12" s="6"/>
    </row>
    <row r="13" spans="2:12" s="7" customFormat="1" ht="18" x14ac:dyDescent="0.3">
      <c r="B13" s="559"/>
      <c r="C13" s="137" t="s">
        <v>20</v>
      </c>
      <c r="D13" s="138" t="s">
        <v>188</v>
      </c>
      <c r="E13" s="139" t="s">
        <v>22</v>
      </c>
      <c r="F13" s="138" t="s">
        <v>20</v>
      </c>
      <c r="G13" s="138" t="s">
        <v>188</v>
      </c>
      <c r="H13" s="139" t="s">
        <v>22</v>
      </c>
      <c r="I13" s="6"/>
      <c r="J13" s="6"/>
      <c r="K13" s="6"/>
      <c r="L13" s="6"/>
    </row>
    <row r="14" spans="2:12" ht="21.75" customHeight="1" x14ac:dyDescent="0.3">
      <c r="B14" s="91" t="s">
        <v>3</v>
      </c>
      <c r="C14" s="94"/>
      <c r="D14" s="465"/>
      <c r="E14" s="468" t="e">
        <f>+D14/C14</f>
        <v>#DIV/0!</v>
      </c>
      <c r="F14" s="94"/>
      <c r="G14" s="465"/>
      <c r="H14" s="468" t="e">
        <f>G14/F14</f>
        <v>#DIV/0!</v>
      </c>
      <c r="I14" s="8"/>
      <c r="J14" s="8"/>
      <c r="K14" s="8"/>
      <c r="L14" s="8"/>
    </row>
    <row r="15" spans="2:12" ht="21.75" customHeight="1" x14ac:dyDescent="0.25">
      <c r="B15" s="92" t="s">
        <v>92</v>
      </c>
      <c r="C15" s="95"/>
      <c r="D15" s="466"/>
      <c r="E15" s="469" t="e">
        <f t="shared" ref="E15:E17" si="0">+D15/C15</f>
        <v>#DIV/0!</v>
      </c>
      <c r="F15" s="95"/>
      <c r="G15" s="466"/>
      <c r="H15" s="469" t="e">
        <f t="shared" ref="H15:H17" si="1">G15/F15</f>
        <v>#DIV/0!</v>
      </c>
    </row>
    <row r="16" spans="2:12" ht="21.75" customHeight="1" x14ac:dyDescent="0.25">
      <c r="B16" s="93" t="s">
        <v>23</v>
      </c>
      <c r="C16" s="96"/>
      <c r="D16" s="467"/>
      <c r="E16" s="470" t="e">
        <f t="shared" si="0"/>
        <v>#DIV/0!</v>
      </c>
      <c r="F16" s="96"/>
      <c r="G16" s="467"/>
      <c r="H16" s="470" t="e">
        <f t="shared" si="1"/>
        <v>#DIV/0!</v>
      </c>
    </row>
    <row r="17" spans="1:12" s="8" customFormat="1" ht="21.75" customHeight="1" thickBot="1" x14ac:dyDescent="0.35">
      <c r="B17" s="90" t="s">
        <v>0</v>
      </c>
      <c r="C17" s="89">
        <f>+C14+C15+C16</f>
        <v>0</v>
      </c>
      <c r="D17" s="89">
        <f>+D14+D15+D16</f>
        <v>0</v>
      </c>
      <c r="E17" s="471" t="e">
        <f t="shared" si="0"/>
        <v>#DIV/0!</v>
      </c>
      <c r="F17" s="89">
        <f>F14+F15+F16</f>
        <v>0</v>
      </c>
      <c r="G17" s="89">
        <f>G14+G15+G16</f>
        <v>0</v>
      </c>
      <c r="H17" s="471" t="e">
        <f t="shared" si="1"/>
        <v>#DIV/0!</v>
      </c>
      <c r="I17" s="31"/>
      <c r="J17" s="31"/>
      <c r="K17" s="31"/>
      <c r="L17" s="6"/>
    </row>
    <row r="18" spans="1:12" ht="18" thickTop="1" x14ac:dyDescent="0.25">
      <c r="B18" s="554"/>
      <c r="J18" s="6"/>
      <c r="K18" s="6"/>
    </row>
    <row r="19" spans="1:12" x14ac:dyDescent="0.25">
      <c r="B19" s="554"/>
      <c r="J19" s="6"/>
      <c r="K19" s="6"/>
    </row>
    <row r="20" spans="1:12" x14ac:dyDescent="0.25">
      <c r="B20" s="12"/>
      <c r="J20" s="6"/>
      <c r="K20" s="6"/>
    </row>
    <row r="21" spans="1:12" x14ac:dyDescent="0.25">
      <c r="A21" s="71"/>
      <c r="B21" s="71"/>
      <c r="D21" s="3"/>
      <c r="E21" s="4"/>
      <c r="F21" s="4"/>
      <c r="G21" s="31"/>
      <c r="H21" s="31"/>
      <c r="J21" s="6"/>
      <c r="K21" s="6"/>
    </row>
    <row r="22" spans="1:12" x14ac:dyDescent="0.25">
      <c r="A22" s="71"/>
      <c r="B22" s="71"/>
      <c r="D22" s="3"/>
      <c r="E22" s="4"/>
      <c r="F22" s="4"/>
      <c r="G22" s="31"/>
      <c r="H22" s="31"/>
      <c r="J22" s="6"/>
      <c r="K22" s="6"/>
    </row>
    <row r="23" spans="1:12" x14ac:dyDescent="0.25">
      <c r="A23" s="71"/>
      <c r="B23" s="71"/>
      <c r="D23" s="3"/>
      <c r="E23" s="4"/>
      <c r="F23" s="4"/>
      <c r="G23" s="31"/>
      <c r="H23" s="31"/>
      <c r="J23" s="6"/>
      <c r="K23" s="6"/>
    </row>
    <row r="24" spans="1:12" x14ac:dyDescent="0.25">
      <c r="A24" s="71"/>
      <c r="B24" s="71"/>
      <c r="D24" s="3"/>
      <c r="E24" s="4"/>
      <c r="F24" s="4"/>
      <c r="G24" s="31"/>
      <c r="H24" s="31"/>
      <c r="J24" s="6"/>
      <c r="K24" s="6"/>
    </row>
    <row r="25" spans="1:12" x14ac:dyDescent="0.25">
      <c r="A25" s="71"/>
      <c r="B25" s="71"/>
      <c r="D25" s="3"/>
      <c r="E25" s="4"/>
      <c r="F25" s="4"/>
      <c r="G25" s="31"/>
      <c r="H25" s="31"/>
      <c r="J25" s="6"/>
      <c r="K25" s="6"/>
    </row>
    <row r="26" spans="1:12" x14ac:dyDescent="0.25">
      <c r="A26" s="71"/>
      <c r="B26" s="71"/>
      <c r="D26" s="3"/>
      <c r="E26" s="4"/>
      <c r="F26" s="4"/>
      <c r="G26" s="31"/>
      <c r="H26" s="31"/>
      <c r="J26" s="6"/>
      <c r="K26" s="6"/>
    </row>
    <row r="27" spans="1:12" x14ac:dyDescent="0.25">
      <c r="A27" s="71"/>
      <c r="B27" s="71"/>
      <c r="D27" s="3"/>
      <c r="E27" s="4"/>
      <c r="F27" s="4"/>
      <c r="G27" s="31"/>
      <c r="H27" s="31"/>
      <c r="I27" s="6"/>
      <c r="J27" s="6"/>
      <c r="K27" s="6"/>
    </row>
    <row r="28" spans="1:12" x14ac:dyDescent="0.25">
      <c r="A28" s="71"/>
      <c r="B28" s="71"/>
      <c r="D28" s="3"/>
      <c r="E28" s="4"/>
      <c r="F28" s="4"/>
      <c r="G28" s="31"/>
      <c r="H28" s="31"/>
      <c r="I28" s="6"/>
      <c r="J28" s="6"/>
      <c r="K28" s="6"/>
    </row>
    <row r="29" spans="1:12" x14ac:dyDescent="0.25">
      <c r="A29" s="71"/>
      <c r="B29" s="71"/>
      <c r="D29" s="3"/>
      <c r="E29" s="4"/>
      <c r="F29" s="4"/>
      <c r="G29" s="31"/>
      <c r="H29" s="31"/>
      <c r="I29" s="6"/>
      <c r="J29" s="6"/>
      <c r="K29" s="6"/>
    </row>
    <row r="30" spans="1:12" ht="16.8" x14ac:dyDescent="0.25">
      <c r="A30" s="71"/>
      <c r="B30" s="71"/>
      <c r="D30" s="6"/>
      <c r="E30" s="6"/>
      <c r="F30" s="6"/>
      <c r="G30" s="6"/>
      <c r="H30" s="6"/>
      <c r="I30" s="6"/>
      <c r="J30" s="6"/>
      <c r="K30" s="6"/>
    </row>
    <row r="31" spans="1:12" ht="16.8" x14ac:dyDescent="0.25">
      <c r="A31" s="71"/>
      <c r="B31" s="71"/>
      <c r="D31" s="6"/>
      <c r="E31" s="6"/>
      <c r="F31" s="6"/>
      <c r="G31" s="6"/>
      <c r="H31" s="6"/>
      <c r="I31" s="6"/>
      <c r="J31" s="6"/>
      <c r="K31" s="6"/>
    </row>
    <row r="32" spans="1:12" ht="16.8" x14ac:dyDescent="0.25">
      <c r="A32" s="71"/>
      <c r="B32" s="71"/>
      <c r="D32" s="6"/>
      <c r="E32" s="6"/>
      <c r="F32" s="6"/>
      <c r="G32" s="6"/>
      <c r="H32" s="6"/>
      <c r="I32" s="6"/>
      <c r="J32" s="6"/>
      <c r="K32" s="6"/>
    </row>
    <row r="33" spans="1:11" ht="16.8" x14ac:dyDescent="0.25">
      <c r="A33" s="71"/>
      <c r="B33" s="71"/>
      <c r="D33" s="6"/>
      <c r="E33" s="6"/>
      <c r="F33" s="6"/>
      <c r="G33" s="6"/>
      <c r="H33" s="6"/>
      <c r="I33" s="6"/>
      <c r="J33" s="6"/>
      <c r="K33" s="6"/>
    </row>
    <row r="34" spans="1:11" ht="16.8" x14ac:dyDescent="0.25">
      <c r="A34" s="71"/>
      <c r="B34" s="71"/>
      <c r="D34" s="6"/>
      <c r="E34" s="6"/>
      <c r="F34" s="6"/>
      <c r="G34" s="6"/>
      <c r="H34" s="6"/>
      <c r="I34" s="6"/>
      <c r="J34" s="6"/>
      <c r="K34" s="6"/>
    </row>
    <row r="35" spans="1:11" ht="16.8" x14ac:dyDescent="0.25">
      <c r="A35" s="71"/>
      <c r="B35" s="71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31"/>
      <c r="B36" s="31"/>
      <c r="C36" s="31"/>
      <c r="D36" s="6"/>
      <c r="E36" s="6"/>
      <c r="F36" s="6"/>
      <c r="G36" s="6"/>
      <c r="H36" s="6"/>
      <c r="I36" s="6"/>
      <c r="J36" s="6"/>
      <c r="K36" s="6"/>
    </row>
    <row r="37" spans="1:11" ht="16.8" x14ac:dyDescent="0.25">
      <c r="A37" s="71"/>
      <c r="B37" s="71"/>
      <c r="D37" s="6"/>
      <c r="E37" s="6"/>
      <c r="F37" s="6"/>
      <c r="G37" s="6"/>
      <c r="H37" s="6"/>
      <c r="I37" s="6"/>
      <c r="J37" s="6"/>
      <c r="K37" s="6"/>
    </row>
    <row r="38" spans="1:11" ht="16.8" x14ac:dyDescent="0.25">
      <c r="A38" s="71"/>
      <c r="B38" s="71"/>
      <c r="D38" s="6"/>
      <c r="E38" s="6"/>
      <c r="F38" s="6"/>
      <c r="G38" s="6"/>
      <c r="H38" s="6"/>
      <c r="I38" s="6"/>
      <c r="J38" s="6"/>
      <c r="K38" s="6"/>
    </row>
    <row r="39" spans="1:11" ht="16.8" x14ac:dyDescent="0.25">
      <c r="A39" s="71"/>
      <c r="B39" s="71"/>
      <c r="D39" s="6"/>
      <c r="E39" s="6"/>
      <c r="F39" s="6"/>
      <c r="G39" s="6"/>
      <c r="H39" s="6"/>
      <c r="I39" s="6"/>
      <c r="J39" s="6"/>
      <c r="K39" s="6"/>
    </row>
    <row r="40" spans="1:11" ht="16.8" x14ac:dyDescent="0.25">
      <c r="A40" s="71"/>
      <c r="B40" s="71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71"/>
      <c r="B41" s="71"/>
      <c r="D41" s="6"/>
      <c r="E41" s="6"/>
      <c r="F41" s="6"/>
      <c r="G41" s="6"/>
      <c r="H41" s="6"/>
      <c r="J41" s="6"/>
      <c r="K41" s="6"/>
    </row>
    <row r="42" spans="1:11" x14ac:dyDescent="0.25">
      <c r="A42" s="71"/>
      <c r="B42" s="71"/>
      <c r="D42" s="6"/>
      <c r="E42" s="6"/>
      <c r="F42" s="6"/>
      <c r="G42" s="6"/>
      <c r="H42" s="6"/>
      <c r="J42" s="6"/>
      <c r="K42" s="6"/>
    </row>
    <row r="43" spans="1:11" x14ac:dyDescent="0.25">
      <c r="A43" s="71"/>
      <c r="B43" s="71"/>
      <c r="D43" s="6"/>
      <c r="E43" s="6"/>
      <c r="F43" s="6"/>
      <c r="G43" s="6"/>
      <c r="H43" s="6"/>
      <c r="J43" s="6"/>
      <c r="K43" s="6"/>
    </row>
    <row r="44" spans="1:11" x14ac:dyDescent="0.25">
      <c r="A44" s="71"/>
      <c r="B44" s="71"/>
      <c r="D44" s="3"/>
      <c r="E44" s="4"/>
      <c r="F44" s="4"/>
      <c r="G44" s="31"/>
      <c r="H44" s="31"/>
      <c r="J44" s="6"/>
      <c r="K44" s="6"/>
    </row>
    <row r="45" spans="1:11" x14ac:dyDescent="0.25">
      <c r="A45" s="71"/>
      <c r="B45" s="71"/>
      <c r="D45" s="3"/>
      <c r="E45" s="4"/>
      <c r="F45" s="4"/>
      <c r="G45" s="31"/>
      <c r="H45" s="31"/>
      <c r="J45" s="6"/>
      <c r="K45" s="6"/>
    </row>
    <row r="46" spans="1:11" x14ac:dyDescent="0.25">
      <c r="A46" s="71"/>
      <c r="B46" s="71"/>
      <c r="D46" s="3"/>
      <c r="E46" s="4"/>
      <c r="F46" s="4"/>
      <c r="G46" s="31"/>
      <c r="H46" s="31"/>
      <c r="J46" s="6"/>
      <c r="K46" s="6"/>
    </row>
    <row r="47" spans="1:11" x14ac:dyDescent="0.25">
      <c r="A47" s="71"/>
      <c r="B47" s="71"/>
      <c r="D47" s="3"/>
      <c r="E47" s="4"/>
      <c r="F47" s="4"/>
      <c r="G47" s="31"/>
      <c r="H47" s="31"/>
      <c r="J47" s="6"/>
      <c r="K47" s="6"/>
    </row>
    <row r="48" spans="1:11" x14ac:dyDescent="0.25">
      <c r="A48" s="71"/>
      <c r="B48" s="71"/>
      <c r="D48" s="3"/>
      <c r="E48" s="4"/>
      <c r="F48" s="4"/>
      <c r="G48" s="31"/>
      <c r="H48" s="31"/>
      <c r="J48" s="6"/>
      <c r="K48" s="6"/>
    </row>
    <row r="49" spans="1:11" x14ac:dyDescent="0.25">
      <c r="A49" s="71"/>
      <c r="B49" s="71"/>
      <c r="D49" s="3"/>
      <c r="E49" s="4"/>
      <c r="F49" s="4"/>
      <c r="G49" s="31"/>
      <c r="H49" s="31"/>
      <c r="J49" s="6"/>
      <c r="K49" s="6"/>
    </row>
    <row r="50" spans="1:11" x14ac:dyDescent="0.25">
      <c r="A50" s="71"/>
      <c r="B50" s="71"/>
      <c r="D50" s="3"/>
      <c r="E50" s="4"/>
      <c r="F50" s="4"/>
      <c r="G50" s="31"/>
      <c r="H50" s="31"/>
      <c r="J50" s="6"/>
      <c r="K50" s="6"/>
    </row>
    <row r="51" spans="1:11" x14ac:dyDescent="0.25">
      <c r="A51" s="71"/>
      <c r="B51" s="71"/>
      <c r="D51" s="3"/>
      <c r="E51" s="4"/>
      <c r="F51" s="4"/>
      <c r="G51" s="31"/>
      <c r="H51" s="31"/>
      <c r="J51" s="6"/>
      <c r="K51" s="6"/>
    </row>
    <row r="52" spans="1:11" x14ac:dyDescent="0.25">
      <c r="A52" s="71"/>
      <c r="B52" s="71"/>
      <c r="D52" s="3"/>
      <c r="E52" s="4"/>
      <c r="F52" s="4"/>
      <c r="G52" s="31"/>
      <c r="H52" s="31"/>
      <c r="J52" s="6"/>
      <c r="K52" s="6"/>
    </row>
    <row r="53" spans="1:11" x14ac:dyDescent="0.25">
      <c r="A53" s="71"/>
      <c r="B53" s="71"/>
      <c r="D53" s="3"/>
      <c r="E53" s="4"/>
      <c r="F53" s="4"/>
      <c r="G53" s="31"/>
      <c r="H53" s="31"/>
      <c r="J53" s="6"/>
      <c r="K53" s="6"/>
    </row>
    <row r="54" spans="1:11" x14ac:dyDescent="0.25">
      <c r="A54" s="71"/>
      <c r="B54" s="71"/>
      <c r="D54" s="3"/>
      <c r="E54" s="4"/>
      <c r="F54" s="4"/>
      <c r="G54" s="31"/>
      <c r="H54" s="31"/>
      <c r="J54" s="6"/>
      <c r="K54" s="6"/>
    </row>
    <row r="55" spans="1:11" x14ac:dyDescent="0.25">
      <c r="A55" s="71"/>
      <c r="B55" s="71"/>
      <c r="D55" s="3"/>
      <c r="E55" s="4"/>
      <c r="F55" s="4"/>
      <c r="G55" s="31"/>
      <c r="H55" s="31"/>
      <c r="J55" s="6"/>
      <c r="K55" s="6"/>
    </row>
    <row r="56" spans="1:11" x14ac:dyDescent="0.25">
      <c r="A56" s="71"/>
      <c r="B56" s="71"/>
      <c r="D56" s="3"/>
      <c r="E56" s="4"/>
      <c r="F56" s="4"/>
      <c r="G56" s="31"/>
      <c r="H56" s="31"/>
      <c r="J56" s="6"/>
      <c r="K56" s="6"/>
    </row>
    <row r="57" spans="1:11" x14ac:dyDescent="0.25">
      <c r="A57" s="71"/>
      <c r="B57" s="71"/>
      <c r="D57" s="3"/>
      <c r="E57" s="4"/>
      <c r="F57" s="4"/>
      <c r="G57" s="31"/>
      <c r="H57" s="31"/>
      <c r="J57" s="6"/>
      <c r="K57" s="6"/>
    </row>
    <row r="58" spans="1:11" x14ac:dyDescent="0.25">
      <c r="A58" s="71"/>
      <c r="B58" s="71"/>
      <c r="D58" s="3"/>
      <c r="E58" s="4"/>
      <c r="F58" s="4"/>
      <c r="G58" s="31"/>
      <c r="H58" s="31"/>
      <c r="J58" s="6"/>
      <c r="K58" s="6"/>
    </row>
    <row r="59" spans="1:11" x14ac:dyDescent="0.25">
      <c r="A59" s="71"/>
      <c r="B59" s="71"/>
      <c r="D59" s="3"/>
      <c r="E59" s="4"/>
      <c r="F59" s="4"/>
      <c r="G59" s="31"/>
      <c r="H59" s="31"/>
      <c r="J59" s="6"/>
      <c r="K59" s="6"/>
    </row>
    <row r="60" spans="1:11" x14ac:dyDescent="0.25">
      <c r="A60" s="71"/>
      <c r="B60" s="71"/>
      <c r="D60" s="3"/>
      <c r="E60" s="4"/>
      <c r="F60" s="4"/>
      <c r="G60" s="31"/>
      <c r="H60" s="31"/>
      <c r="J60" s="6"/>
      <c r="K60" s="6"/>
    </row>
    <row r="61" spans="1:11" x14ac:dyDescent="0.25">
      <c r="A61" s="71"/>
      <c r="B61" s="71"/>
      <c r="D61" s="3"/>
      <c r="E61" s="4"/>
      <c r="F61" s="4"/>
      <c r="G61" s="31"/>
      <c r="H61" s="31"/>
      <c r="J61" s="6"/>
      <c r="K61" s="6"/>
    </row>
    <row r="62" spans="1:11" x14ac:dyDescent="0.25">
      <c r="A62" s="71"/>
      <c r="B62" s="71"/>
      <c r="D62" s="3"/>
      <c r="E62" s="4"/>
      <c r="F62" s="4"/>
      <c r="G62" s="31"/>
      <c r="H62" s="31"/>
      <c r="J62" s="6"/>
      <c r="K62" s="6"/>
    </row>
    <row r="63" spans="1:11" x14ac:dyDescent="0.25">
      <c r="A63" s="71"/>
      <c r="B63" s="71"/>
      <c r="D63" s="3"/>
      <c r="E63" s="4"/>
      <c r="F63" s="4"/>
      <c r="G63" s="31"/>
      <c r="H63" s="31"/>
      <c r="J63" s="6"/>
      <c r="K63" s="6"/>
    </row>
    <row r="64" spans="1:11" x14ac:dyDescent="0.25">
      <c r="A64" s="71"/>
      <c r="B64" s="71"/>
      <c r="D64" s="3"/>
      <c r="E64" s="4"/>
      <c r="F64" s="4"/>
      <c r="G64" s="31"/>
      <c r="H64" s="31"/>
      <c r="J64" s="6"/>
      <c r="K64" s="6"/>
    </row>
    <row r="65" spans="1:11" x14ac:dyDescent="0.25">
      <c r="A65" s="71"/>
      <c r="B65" s="71"/>
      <c r="D65" s="3"/>
      <c r="E65" s="4"/>
      <c r="F65" s="4"/>
      <c r="G65" s="31"/>
      <c r="H65" s="31"/>
      <c r="J65" s="6"/>
      <c r="K65" s="6"/>
    </row>
    <row r="66" spans="1:11" x14ac:dyDescent="0.25">
      <c r="A66" s="71"/>
      <c r="B66" s="71"/>
      <c r="D66" s="3"/>
      <c r="E66" s="4"/>
      <c r="F66" s="4"/>
      <c r="G66" s="31"/>
      <c r="H66" s="31"/>
      <c r="J66" s="6"/>
      <c r="K66" s="6"/>
    </row>
    <row r="67" spans="1:11" x14ac:dyDescent="0.25">
      <c r="A67" s="71"/>
      <c r="B67" s="71"/>
      <c r="D67" s="3"/>
      <c r="E67" s="4"/>
      <c r="F67" s="4"/>
      <c r="G67" s="31"/>
      <c r="H67" s="31"/>
      <c r="J67" s="6"/>
      <c r="K67" s="6"/>
    </row>
    <row r="68" spans="1:11" x14ac:dyDescent="0.25">
      <c r="A68" s="71"/>
      <c r="B68" s="71"/>
      <c r="D68" s="3"/>
      <c r="E68" s="4"/>
      <c r="F68" s="4"/>
      <c r="G68" s="31"/>
      <c r="H68" s="31"/>
      <c r="J68" s="6"/>
      <c r="K68" s="6"/>
    </row>
    <row r="69" spans="1:11" x14ac:dyDescent="0.25">
      <c r="A69" s="71"/>
      <c r="B69" s="71"/>
      <c r="D69" s="3"/>
      <c r="E69" s="4"/>
      <c r="F69" s="4"/>
      <c r="G69" s="31"/>
      <c r="H69" s="31"/>
      <c r="J69" s="6"/>
      <c r="K69" s="6"/>
    </row>
    <row r="70" spans="1:11" x14ac:dyDescent="0.25">
      <c r="A70" s="71"/>
      <c r="B70" s="71"/>
      <c r="D70" s="3"/>
      <c r="E70" s="4"/>
      <c r="F70" s="4"/>
      <c r="G70" s="31"/>
      <c r="H70" s="31"/>
      <c r="J70" s="6"/>
      <c r="K70" s="6"/>
    </row>
    <row r="71" spans="1:11" x14ac:dyDescent="0.25">
      <c r="A71" s="71"/>
      <c r="B71" s="71"/>
      <c r="D71" s="3"/>
      <c r="E71" s="4"/>
      <c r="F71" s="4"/>
      <c r="G71" s="31"/>
      <c r="H71" s="31"/>
      <c r="J71" s="6"/>
      <c r="K71" s="6"/>
    </row>
    <row r="72" spans="1:11" x14ac:dyDescent="0.25">
      <c r="A72" s="71"/>
      <c r="B72" s="71"/>
      <c r="D72" s="3"/>
      <c r="E72" s="4"/>
      <c r="F72" s="4"/>
      <c r="G72" s="31"/>
      <c r="H72" s="31"/>
      <c r="J72" s="6"/>
      <c r="K72" s="6"/>
    </row>
    <row r="73" spans="1:11" x14ac:dyDescent="0.25">
      <c r="A73" s="71"/>
      <c r="B73" s="71"/>
      <c r="D73" s="3"/>
      <c r="E73" s="4"/>
      <c r="F73" s="4"/>
      <c r="G73" s="31"/>
      <c r="H73" s="31"/>
      <c r="J73" s="6"/>
      <c r="K73" s="6"/>
    </row>
    <row r="74" spans="1:11" x14ac:dyDescent="0.25">
      <c r="A74" s="71"/>
      <c r="B74" s="71"/>
      <c r="D74" s="3"/>
      <c r="E74" s="4"/>
      <c r="F74" s="4"/>
      <c r="G74" s="31"/>
      <c r="H74" s="31"/>
      <c r="J74" s="6"/>
      <c r="K74" s="6"/>
    </row>
    <row r="75" spans="1:11" x14ac:dyDescent="0.25">
      <c r="A75" s="71"/>
      <c r="B75" s="71"/>
      <c r="D75" s="3"/>
      <c r="E75" s="4"/>
      <c r="F75" s="4"/>
      <c r="G75" s="31"/>
      <c r="H75" s="31"/>
      <c r="J75" s="6"/>
      <c r="K75" s="6"/>
    </row>
    <row r="76" spans="1:11" x14ac:dyDescent="0.25">
      <c r="A76" s="71"/>
      <c r="B76" s="71"/>
      <c r="D76" s="3"/>
      <c r="E76" s="4"/>
      <c r="F76" s="4"/>
      <c r="G76" s="31"/>
      <c r="H76" s="31"/>
      <c r="J76" s="6"/>
      <c r="K76" s="6"/>
    </row>
    <row r="77" spans="1:11" x14ac:dyDescent="0.25">
      <c r="A77" s="71"/>
      <c r="B77" s="71"/>
      <c r="D77" s="3"/>
      <c r="E77" s="4"/>
      <c r="F77" s="4"/>
      <c r="G77" s="31"/>
      <c r="H77" s="31"/>
      <c r="J77" s="6"/>
      <c r="K77" s="6"/>
    </row>
    <row r="78" spans="1:11" x14ac:dyDescent="0.25">
      <c r="A78" s="71"/>
      <c r="B78" s="71"/>
      <c r="D78" s="3"/>
      <c r="E78" s="4"/>
      <c r="F78" s="4"/>
      <c r="G78" s="31"/>
      <c r="H78" s="31"/>
      <c r="J78" s="6"/>
      <c r="K78" s="6"/>
    </row>
    <row r="79" spans="1:11" x14ac:dyDescent="0.25">
      <c r="A79" s="71"/>
      <c r="B79" s="71"/>
      <c r="D79" s="3"/>
      <c r="E79" s="4"/>
      <c r="F79" s="4"/>
      <c r="G79" s="31"/>
      <c r="H79" s="31"/>
      <c r="J79" s="6"/>
      <c r="K79" s="6"/>
    </row>
    <row r="80" spans="1:11" x14ac:dyDescent="0.25">
      <c r="A80" s="71"/>
      <c r="B80" s="71"/>
      <c r="D80" s="3"/>
      <c r="E80" s="4"/>
      <c r="F80" s="4"/>
      <c r="G80" s="31"/>
      <c r="H80" s="31"/>
      <c r="J80" s="6"/>
      <c r="K80" s="6"/>
    </row>
    <row r="81" spans="1:11" x14ac:dyDescent="0.25">
      <c r="A81" s="71"/>
      <c r="B81" s="71"/>
      <c r="D81" s="3"/>
      <c r="E81" s="4"/>
      <c r="F81" s="4"/>
      <c r="G81" s="31"/>
      <c r="H81" s="31"/>
      <c r="J81" s="6"/>
      <c r="K81" s="6"/>
    </row>
    <row r="82" spans="1:11" x14ac:dyDescent="0.25">
      <c r="A82" s="71"/>
      <c r="B82" s="71"/>
      <c r="D82" s="3"/>
      <c r="E82" s="4"/>
      <c r="F82" s="4"/>
      <c r="G82" s="31"/>
      <c r="H82" s="31"/>
      <c r="J82" s="6"/>
      <c r="K82" s="6"/>
    </row>
    <row r="83" spans="1:11" x14ac:dyDescent="0.25">
      <c r="A83" s="71"/>
      <c r="B83" s="71"/>
      <c r="D83" s="3"/>
      <c r="E83" s="4"/>
      <c r="F83" s="4"/>
      <c r="G83" s="31"/>
      <c r="H83" s="31"/>
      <c r="J83" s="6"/>
      <c r="K83" s="6"/>
    </row>
    <row r="84" spans="1:11" x14ac:dyDescent="0.25">
      <c r="A84" s="71"/>
      <c r="B84" s="71"/>
      <c r="D84" s="3"/>
      <c r="E84" s="4"/>
      <c r="F84" s="4"/>
      <c r="G84" s="31"/>
      <c r="H84" s="31"/>
    </row>
    <row r="85" spans="1:11" x14ac:dyDescent="0.25">
      <c r="A85" s="71"/>
      <c r="B85" s="71"/>
      <c r="D85" s="3"/>
      <c r="E85" s="4"/>
      <c r="F85" s="4"/>
      <c r="G85" s="31"/>
      <c r="H85" s="31"/>
    </row>
    <row r="86" spans="1:11" x14ac:dyDescent="0.25">
      <c r="A86" s="71"/>
      <c r="B86" s="71"/>
      <c r="D86" s="3"/>
      <c r="E86" s="4"/>
      <c r="F86" s="4"/>
      <c r="G86" s="31"/>
      <c r="H86" s="31"/>
    </row>
  </sheetData>
  <mergeCells count="6">
    <mergeCell ref="L2:L5"/>
    <mergeCell ref="C2:K5"/>
    <mergeCell ref="B18:B19"/>
    <mergeCell ref="C12:E12"/>
    <mergeCell ref="F12:H12"/>
    <mergeCell ref="B12:B13"/>
  </mergeCells>
  <pageMargins left="0.37" right="0" top="0.74803149606299213" bottom="0.74803149606299213" header="0.31496062992125984" footer="0.31496062992125984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N31"/>
  <sheetViews>
    <sheetView showGridLines="0" topLeftCell="F1" workbookViewId="0">
      <selection activeCell="L2" sqref="L2:L5"/>
    </sheetView>
  </sheetViews>
  <sheetFormatPr baseColWidth="10" defaultRowHeight="14.4" x14ac:dyDescent="0.3"/>
  <cols>
    <col min="2" max="2" width="37" style="1" bestFit="1" customWidth="1"/>
    <col min="3" max="4" width="14.5546875" customWidth="1"/>
    <col min="5" max="5" width="11" customWidth="1"/>
    <col min="6" max="6" width="11.6640625" customWidth="1"/>
    <col min="7" max="7" width="24.109375" bestFit="1" customWidth="1"/>
    <col min="8" max="9" width="16" customWidth="1"/>
    <col min="10" max="10" width="10" bestFit="1" customWidth="1"/>
  </cols>
  <sheetData>
    <row r="2" spans="2:13" ht="15" customHeight="1" x14ac:dyDescent="0.3">
      <c r="B2" s="78"/>
      <c r="C2" s="545" t="s">
        <v>223</v>
      </c>
      <c r="D2" s="546"/>
      <c r="E2" s="546"/>
      <c r="F2" s="546"/>
      <c r="G2" s="546"/>
      <c r="H2" s="546"/>
      <c r="I2" s="546"/>
      <c r="J2" s="546"/>
      <c r="K2" s="547"/>
      <c r="L2" s="542" t="s">
        <v>186</v>
      </c>
    </row>
    <row r="3" spans="2:13" ht="15.75" customHeight="1" x14ac:dyDescent="0.3">
      <c r="B3" s="79"/>
      <c r="C3" s="548"/>
      <c r="D3" s="549"/>
      <c r="E3" s="549"/>
      <c r="F3" s="549"/>
      <c r="G3" s="549"/>
      <c r="H3" s="549"/>
      <c r="I3" s="549"/>
      <c r="J3" s="549"/>
      <c r="K3" s="550"/>
      <c r="L3" s="543"/>
    </row>
    <row r="4" spans="2:13" ht="15" customHeight="1" x14ac:dyDescent="0.3">
      <c r="B4" s="79"/>
      <c r="C4" s="548"/>
      <c r="D4" s="549"/>
      <c r="E4" s="549"/>
      <c r="F4" s="549"/>
      <c r="G4" s="549"/>
      <c r="H4" s="549"/>
      <c r="I4" s="549"/>
      <c r="J4" s="549"/>
      <c r="K4" s="550"/>
      <c r="L4" s="543"/>
    </row>
    <row r="5" spans="2:13" ht="15" customHeight="1" x14ac:dyDescent="0.3">
      <c r="B5" s="80"/>
      <c r="C5" s="551"/>
      <c r="D5" s="552"/>
      <c r="E5" s="552"/>
      <c r="F5" s="552"/>
      <c r="G5" s="552"/>
      <c r="H5" s="552"/>
      <c r="I5" s="552"/>
      <c r="J5" s="552"/>
      <c r="K5" s="553"/>
      <c r="L5" s="544"/>
    </row>
    <row r="14" spans="2:13" ht="25.8" x14ac:dyDescent="0.3">
      <c r="B14" s="98" t="s">
        <v>177</v>
      </c>
      <c r="M14" s="5"/>
    </row>
    <row r="15" spans="2:13" ht="15" thickBot="1" x14ac:dyDescent="0.35">
      <c r="M15" s="5"/>
    </row>
    <row r="16" spans="2:13" s="5" customFormat="1" ht="23.25" customHeight="1" thickBot="1" x14ac:dyDescent="0.35">
      <c r="B16" s="107" t="s">
        <v>154</v>
      </c>
      <c r="C16" s="102" t="s">
        <v>220</v>
      </c>
      <c r="D16" s="100" t="s">
        <v>221</v>
      </c>
      <c r="E16" s="214" t="s">
        <v>195</v>
      </c>
      <c r="F16" s="218"/>
      <c r="G16" s="107" t="s">
        <v>189</v>
      </c>
      <c r="H16" s="102" t="s">
        <v>220</v>
      </c>
      <c r="I16" s="100" t="s">
        <v>221</v>
      </c>
      <c r="J16" s="214" t="s">
        <v>195</v>
      </c>
      <c r="K16" s="217"/>
      <c r="M16"/>
    </row>
    <row r="17" spans="2:14" s="5" customFormat="1" ht="18.75" customHeight="1" x14ac:dyDescent="0.35">
      <c r="B17" s="108" t="s">
        <v>137</v>
      </c>
      <c r="C17" s="110"/>
      <c r="D17" s="117"/>
      <c r="E17" s="472" t="e">
        <f>(D17-C17)/C17</f>
        <v>#DIV/0!</v>
      </c>
      <c r="G17" s="103" t="s">
        <v>139</v>
      </c>
      <c r="H17" s="110"/>
      <c r="I17" s="111"/>
      <c r="J17" s="475" t="e">
        <f>(I17-H17)/H17</f>
        <v>#DIV/0!</v>
      </c>
      <c r="M17"/>
    </row>
    <row r="18" spans="2:14" ht="19.5" customHeight="1" thickBot="1" x14ac:dyDescent="0.4">
      <c r="B18" s="109" t="s">
        <v>158</v>
      </c>
      <c r="C18" s="112"/>
      <c r="D18" s="113"/>
      <c r="E18" s="473" t="e">
        <f t="shared" ref="E18:E19" si="0">(D18-C18)/C18</f>
        <v>#DIV/0!</v>
      </c>
      <c r="F18" s="5"/>
      <c r="G18" s="104" t="s">
        <v>159</v>
      </c>
      <c r="H18" s="112"/>
      <c r="I18" s="113"/>
      <c r="J18" s="473" t="e">
        <f t="shared" ref="J18:J19" si="1">(I18-H18)/H18</f>
        <v>#DIV/0!</v>
      </c>
      <c r="M18" s="20"/>
    </row>
    <row r="19" spans="2:14" ht="18" customHeight="1" thickBot="1" x14ac:dyDescent="0.35">
      <c r="B19" s="114" t="s">
        <v>25</v>
      </c>
      <c r="C19" s="115">
        <f>+C18+C17</f>
        <v>0</v>
      </c>
      <c r="D19" s="118">
        <f>D17+D18</f>
        <v>0</v>
      </c>
      <c r="E19" s="474" t="e">
        <f t="shared" si="0"/>
        <v>#DIV/0!</v>
      </c>
      <c r="G19" s="114" t="s">
        <v>25</v>
      </c>
      <c r="H19" s="115">
        <f>+H18+H17</f>
        <v>0</v>
      </c>
      <c r="I19" s="116">
        <f>I17+I18</f>
        <v>0</v>
      </c>
      <c r="J19" s="479" t="e">
        <f t="shared" si="1"/>
        <v>#DIV/0!</v>
      </c>
      <c r="M19" s="5"/>
    </row>
    <row r="20" spans="2:14" s="20" customFormat="1" ht="17.25" customHeight="1" thickBot="1" x14ac:dyDescent="0.35">
      <c r="B20" s="25"/>
      <c r="C20" s="24"/>
      <c r="D20" s="13"/>
      <c r="E20" s="215"/>
      <c r="F20"/>
      <c r="M20"/>
      <c r="N20" s="106"/>
    </row>
    <row r="21" spans="2:14" s="5" customFormat="1" ht="24.75" customHeight="1" thickBot="1" x14ac:dyDescent="0.35">
      <c r="B21" s="107" t="s">
        <v>155</v>
      </c>
      <c r="C21" s="102" t="s">
        <v>220</v>
      </c>
      <c r="D21" s="100" t="s">
        <v>221</v>
      </c>
      <c r="E21" s="216" t="s">
        <v>195</v>
      </c>
      <c r="F21" s="20"/>
      <c r="M21"/>
    </row>
    <row r="22" spans="2:14" ht="16.5" customHeight="1" x14ac:dyDescent="0.3">
      <c r="B22" s="108" t="s">
        <v>156</v>
      </c>
      <c r="C22" s="119">
        <f>+C17+H17</f>
        <v>0</v>
      </c>
      <c r="D22" s="120">
        <f>D17+I17</f>
        <v>0</v>
      </c>
      <c r="E22" s="475" t="e">
        <f>(D22-C22)/C22</f>
        <v>#DIV/0!</v>
      </c>
      <c r="F22" s="5"/>
    </row>
    <row r="23" spans="2:14" ht="18.75" customHeight="1" thickBot="1" x14ac:dyDescent="0.35">
      <c r="B23" s="109" t="s">
        <v>157</v>
      </c>
      <c r="C23" s="121">
        <f>+C18+H18</f>
        <v>0</v>
      </c>
      <c r="D23" s="122">
        <f>D18+I18</f>
        <v>0</v>
      </c>
      <c r="E23" s="473" t="e">
        <f>(D23-C23)/C23</f>
        <v>#DIV/0!</v>
      </c>
      <c r="M23" s="20"/>
    </row>
    <row r="24" spans="2:14" ht="15.75" customHeight="1" thickBot="1" x14ac:dyDescent="0.35">
      <c r="B24" s="114" t="s">
        <v>25</v>
      </c>
      <c r="C24" s="123">
        <f>+C23+C22</f>
        <v>0</v>
      </c>
      <c r="D24" s="124">
        <f>SUM(D22+D23)</f>
        <v>0</v>
      </c>
      <c r="E24" s="476" t="e">
        <f>(D24-C24)/C24</f>
        <v>#DIV/0!</v>
      </c>
    </row>
    <row r="25" spans="2:14" s="20" customFormat="1" ht="23.25" customHeight="1" thickBot="1" x14ac:dyDescent="0.35">
      <c r="B25" s="25"/>
      <c r="C25" s="23"/>
      <c r="E25" s="215"/>
      <c r="F25"/>
      <c r="M25"/>
    </row>
    <row r="26" spans="2:14" ht="25.5" customHeight="1" thickBot="1" x14ac:dyDescent="0.35">
      <c r="B26" s="107" t="s">
        <v>190</v>
      </c>
      <c r="C26" s="102" t="s">
        <v>220</v>
      </c>
      <c r="D26" s="100" t="s">
        <v>221</v>
      </c>
      <c r="E26" s="216" t="s">
        <v>195</v>
      </c>
      <c r="F26" s="20"/>
    </row>
    <row r="27" spans="2:14" ht="18" x14ac:dyDescent="0.3">
      <c r="B27" s="125" t="s">
        <v>59</v>
      </c>
      <c r="C27" s="126"/>
      <c r="D27" s="127"/>
      <c r="E27" s="472" t="e">
        <f>(D27-C27)/C27</f>
        <v>#DIV/0!</v>
      </c>
    </row>
    <row r="28" spans="2:14" ht="18" x14ac:dyDescent="0.35">
      <c r="B28" s="128" t="s">
        <v>60</v>
      </c>
      <c r="C28" s="129"/>
      <c r="D28" s="130"/>
      <c r="E28" s="477" t="e">
        <f>(D28-C28)/C28</f>
        <v>#DIV/0!</v>
      </c>
    </row>
    <row r="29" spans="2:14" ht="18.600000000000001" thickBot="1" x14ac:dyDescent="0.4">
      <c r="B29" s="131" t="s">
        <v>61</v>
      </c>
      <c r="C29" s="132"/>
      <c r="D29" s="133"/>
      <c r="E29" s="478" t="e">
        <f>(D29-C29)/C29</f>
        <v>#DIV/0!</v>
      </c>
    </row>
    <row r="30" spans="2:14" ht="18.600000000000001" thickBot="1" x14ac:dyDescent="0.35">
      <c r="B30" s="134" t="s">
        <v>25</v>
      </c>
      <c r="C30" s="135">
        <f>+C29+C28+C27</f>
        <v>0</v>
      </c>
      <c r="D30" s="136">
        <f>+D29+D28+D27</f>
        <v>0</v>
      </c>
      <c r="E30" s="476" t="e">
        <f>(D30-C30)/C30</f>
        <v>#DIV/0!</v>
      </c>
    </row>
    <row r="31" spans="2:14" x14ac:dyDescent="0.3">
      <c r="E31" s="101"/>
    </row>
  </sheetData>
  <mergeCells count="2">
    <mergeCell ref="C2:K5"/>
    <mergeCell ref="L2:L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M29"/>
  <sheetViews>
    <sheetView showGridLines="0" topLeftCell="A7" zoomScale="80" zoomScaleNormal="80" workbookViewId="0">
      <selection activeCell="M2" sqref="M2:M5"/>
    </sheetView>
  </sheetViews>
  <sheetFormatPr baseColWidth="10" defaultColWidth="11.44140625" defaultRowHeight="13.8" x14ac:dyDescent="0.25"/>
  <cols>
    <col min="1" max="1" width="11.44140625" style="10"/>
    <col min="2" max="2" width="39.33203125" style="10" customWidth="1"/>
    <col min="3" max="3" width="18.109375" style="11" customWidth="1"/>
    <col min="4" max="4" width="22.33203125" style="11" bestFit="1" customWidth="1"/>
    <col min="5" max="5" width="18.88671875" style="11" bestFit="1" customWidth="1"/>
    <col min="6" max="6" width="10.44140625" style="11" customWidth="1"/>
    <col min="7" max="7" width="20.44140625" style="10" customWidth="1"/>
    <col min="8" max="8" width="11.44140625" style="10"/>
    <col min="9" max="9" width="15.6640625" style="10" customWidth="1"/>
    <col min="10" max="16384" width="11.44140625" style="10"/>
  </cols>
  <sheetData>
    <row r="2" spans="2:13" ht="18.75" customHeight="1" x14ac:dyDescent="0.3">
      <c r="B2" s="78"/>
      <c r="C2" s="545" t="s">
        <v>223</v>
      </c>
      <c r="D2" s="546"/>
      <c r="E2" s="546"/>
      <c r="F2" s="546"/>
      <c r="G2" s="546"/>
      <c r="H2" s="546"/>
      <c r="I2" s="546"/>
      <c r="J2" s="546"/>
      <c r="K2" s="546"/>
      <c r="L2" s="547"/>
      <c r="M2" s="542" t="s">
        <v>186</v>
      </c>
    </row>
    <row r="3" spans="2:13" ht="19.5" customHeight="1" x14ac:dyDescent="0.3">
      <c r="B3" s="79"/>
      <c r="C3" s="548"/>
      <c r="D3" s="549"/>
      <c r="E3" s="549"/>
      <c r="F3" s="549"/>
      <c r="G3" s="549"/>
      <c r="H3" s="549"/>
      <c r="I3" s="549"/>
      <c r="J3" s="549"/>
      <c r="K3" s="549"/>
      <c r="L3" s="550"/>
      <c r="M3" s="543"/>
    </row>
    <row r="4" spans="2:13" ht="31.5" customHeight="1" x14ac:dyDescent="0.3">
      <c r="B4" s="79"/>
      <c r="C4" s="548"/>
      <c r="D4" s="549"/>
      <c r="E4" s="549"/>
      <c r="F4" s="549"/>
      <c r="G4" s="549"/>
      <c r="H4" s="549"/>
      <c r="I4" s="549"/>
      <c r="J4" s="549"/>
      <c r="K4" s="549"/>
      <c r="L4" s="550"/>
      <c r="M4" s="543"/>
    </row>
    <row r="5" spans="2:13" ht="19.5" customHeight="1" x14ac:dyDescent="0.3">
      <c r="B5" s="80"/>
      <c r="C5" s="551"/>
      <c r="D5" s="552"/>
      <c r="E5" s="552"/>
      <c r="F5" s="552"/>
      <c r="G5" s="552"/>
      <c r="H5" s="552"/>
      <c r="I5" s="552"/>
      <c r="J5" s="552"/>
      <c r="K5" s="552"/>
      <c r="L5" s="553"/>
      <c r="M5" s="544"/>
    </row>
    <row r="13" spans="2:13" ht="25.8" x14ac:dyDescent="0.25">
      <c r="B13" s="140" t="s">
        <v>178</v>
      </c>
    </row>
    <row r="14" spans="2:13" ht="14.4" thickBot="1" x14ac:dyDescent="0.3"/>
    <row r="15" spans="2:13" ht="26.25" customHeight="1" thickBot="1" x14ac:dyDescent="0.3">
      <c r="B15" s="570" t="s">
        <v>191</v>
      </c>
      <c r="C15" s="571"/>
      <c r="D15" s="156" t="s">
        <v>220</v>
      </c>
      <c r="E15" s="156" t="s">
        <v>221</v>
      </c>
      <c r="F15" s="219" t="s">
        <v>195</v>
      </c>
      <c r="G15" s="67"/>
    </row>
    <row r="16" spans="2:13" ht="21.75" customHeight="1" x14ac:dyDescent="0.35">
      <c r="B16" s="562" t="s">
        <v>137</v>
      </c>
      <c r="C16" s="563"/>
      <c r="D16" s="485"/>
      <c r="E16" s="161"/>
      <c r="F16" s="480" t="e">
        <f>(E16-D16)/D16</f>
        <v>#DIV/0!</v>
      </c>
    </row>
    <row r="17" spans="2:6" ht="18" x14ac:dyDescent="0.35">
      <c r="B17" s="564" t="s">
        <v>138</v>
      </c>
      <c r="C17" s="565"/>
      <c r="D17" s="463"/>
      <c r="E17" s="150"/>
      <c r="F17" s="481" t="e">
        <f t="shared" ref="F17:F20" si="0">(E17-D17)/D17</f>
        <v>#DIV/0!</v>
      </c>
    </row>
    <row r="18" spans="2:6" ht="18" x14ac:dyDescent="0.35">
      <c r="B18" s="566" t="s">
        <v>139</v>
      </c>
      <c r="C18" s="567"/>
      <c r="D18" s="486"/>
      <c r="E18" s="163"/>
      <c r="F18" s="482" t="e">
        <f t="shared" si="0"/>
        <v>#DIV/0!</v>
      </c>
    </row>
    <row r="19" spans="2:6" ht="24" customHeight="1" thickBot="1" x14ac:dyDescent="0.4">
      <c r="B19" s="568" t="s">
        <v>140</v>
      </c>
      <c r="C19" s="569"/>
      <c r="D19" s="464"/>
      <c r="E19" s="152"/>
      <c r="F19" s="483" t="e">
        <f t="shared" si="0"/>
        <v>#DIV/0!</v>
      </c>
    </row>
    <row r="20" spans="2:6" ht="30.75" customHeight="1" thickBot="1" x14ac:dyDescent="0.3">
      <c r="B20" s="560" t="s">
        <v>192</v>
      </c>
      <c r="C20" s="561"/>
      <c r="D20" s="147">
        <f>D16+D17+D18+D19</f>
        <v>0</v>
      </c>
      <c r="E20" s="147">
        <f>E16+E17+E18+E19</f>
        <v>0</v>
      </c>
      <c r="F20" s="484" t="e">
        <f t="shared" si="0"/>
        <v>#DIV/0!</v>
      </c>
    </row>
    <row r="21" spans="2:6" x14ac:dyDescent="0.25">
      <c r="B21" s="33"/>
      <c r="C21" s="32"/>
      <c r="D21" s="32"/>
      <c r="E21" s="34"/>
      <c r="F21" s="221"/>
    </row>
    <row r="22" spans="2:6" ht="14.4" thickBot="1" x14ac:dyDescent="0.3">
      <c r="B22" s="33"/>
      <c r="C22" s="32"/>
      <c r="D22" s="32"/>
      <c r="E22" s="34"/>
      <c r="F22" s="34"/>
    </row>
    <row r="23" spans="2:6" ht="29.25" customHeight="1" thickBot="1" x14ac:dyDescent="0.3">
      <c r="B23" s="572" t="s">
        <v>210</v>
      </c>
      <c r="C23" s="573"/>
      <c r="D23" s="159" t="s">
        <v>220</v>
      </c>
      <c r="E23" s="157" t="s">
        <v>221</v>
      </c>
      <c r="F23" s="219" t="s">
        <v>195</v>
      </c>
    </row>
    <row r="24" spans="2:6" ht="21.75" customHeight="1" x14ac:dyDescent="0.35">
      <c r="B24" s="566" t="s">
        <v>137</v>
      </c>
      <c r="C24" s="567"/>
      <c r="D24" s="160"/>
      <c r="E24" s="160"/>
      <c r="F24" s="480" t="e">
        <f>(E24-D24)/D24</f>
        <v>#DIV/0!</v>
      </c>
    </row>
    <row r="25" spans="2:6" ht="23.25" customHeight="1" x14ac:dyDescent="0.35">
      <c r="B25" s="564" t="s">
        <v>138</v>
      </c>
      <c r="C25" s="565"/>
      <c r="D25" s="158"/>
      <c r="E25" s="158"/>
      <c r="F25" s="481" t="e">
        <f t="shared" ref="F25:F28" si="1">(E25-D25)/D25</f>
        <v>#DIV/0!</v>
      </c>
    </row>
    <row r="26" spans="2:6" ht="22.5" customHeight="1" x14ac:dyDescent="0.35">
      <c r="B26" s="566" t="s">
        <v>139</v>
      </c>
      <c r="C26" s="567"/>
      <c r="D26" s="162"/>
      <c r="E26" s="162"/>
      <c r="F26" s="482" t="e">
        <f t="shared" si="1"/>
        <v>#DIV/0!</v>
      </c>
    </row>
    <row r="27" spans="2:6" ht="21.75" customHeight="1" thickBot="1" x14ac:dyDescent="0.4">
      <c r="B27" s="568" t="s">
        <v>140</v>
      </c>
      <c r="C27" s="569"/>
      <c r="D27" s="143"/>
      <c r="E27" s="143"/>
      <c r="F27" s="483" t="e">
        <f t="shared" si="1"/>
        <v>#DIV/0!</v>
      </c>
    </row>
    <row r="28" spans="2:6" ht="28.5" customHeight="1" thickBot="1" x14ac:dyDescent="0.3">
      <c r="B28" s="560" t="s">
        <v>192</v>
      </c>
      <c r="C28" s="561"/>
      <c r="D28" s="144">
        <f>D24+D25+D26+D27</f>
        <v>0</v>
      </c>
      <c r="E28" s="144">
        <f>E24+E25+E26+E27</f>
        <v>0</v>
      </c>
      <c r="F28" s="484" t="e">
        <f t="shared" si="1"/>
        <v>#DIV/0!</v>
      </c>
    </row>
    <row r="29" spans="2:6" x14ac:dyDescent="0.25">
      <c r="F29" s="222"/>
    </row>
  </sheetData>
  <mergeCells count="14">
    <mergeCell ref="M2:M5"/>
    <mergeCell ref="B15:C15"/>
    <mergeCell ref="B23:C23"/>
    <mergeCell ref="B27:C27"/>
    <mergeCell ref="C2:L5"/>
    <mergeCell ref="B28:C28"/>
    <mergeCell ref="B16:C16"/>
    <mergeCell ref="B17:C17"/>
    <mergeCell ref="B24:C24"/>
    <mergeCell ref="B18:C18"/>
    <mergeCell ref="B19:C19"/>
    <mergeCell ref="B20:C20"/>
    <mergeCell ref="B25:C25"/>
    <mergeCell ref="B26:C2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N34"/>
  <sheetViews>
    <sheetView showGridLines="0" topLeftCell="A10" workbookViewId="0">
      <selection activeCell="G27" sqref="G27"/>
    </sheetView>
  </sheetViews>
  <sheetFormatPr baseColWidth="10" defaultRowHeight="14.4" x14ac:dyDescent="0.3"/>
  <cols>
    <col min="2" max="2" width="26.6640625" customWidth="1"/>
    <col min="3" max="3" width="15.88671875" customWidth="1"/>
    <col min="4" max="4" width="16.6640625" customWidth="1"/>
    <col min="5" max="5" width="17.109375" customWidth="1"/>
    <col min="6" max="6" width="24.109375" customWidth="1"/>
    <col min="7" max="7" width="33.6640625" bestFit="1" customWidth="1"/>
    <col min="8" max="8" width="14.5546875" customWidth="1"/>
    <col min="9" max="9" width="14.109375" customWidth="1"/>
  </cols>
  <sheetData>
    <row r="2" spans="2:10" x14ac:dyDescent="0.3">
      <c r="B2" s="78"/>
      <c r="C2" s="545" t="s">
        <v>224</v>
      </c>
      <c r="D2" s="580"/>
      <c r="E2" s="580"/>
      <c r="F2" s="580"/>
      <c r="G2" s="580"/>
      <c r="H2" s="580"/>
      <c r="I2" s="581"/>
      <c r="J2" s="542" t="s">
        <v>186</v>
      </c>
    </row>
    <row r="3" spans="2:10" x14ac:dyDescent="0.3">
      <c r="B3" s="79"/>
      <c r="C3" s="582"/>
      <c r="D3" s="583"/>
      <c r="E3" s="583"/>
      <c r="F3" s="583"/>
      <c r="G3" s="583"/>
      <c r="H3" s="583"/>
      <c r="I3" s="584"/>
      <c r="J3" s="543"/>
    </row>
    <row r="4" spans="2:10" ht="24.75" customHeight="1" x14ac:dyDescent="0.3">
      <c r="B4" s="79"/>
      <c r="C4" s="582"/>
      <c r="D4" s="583"/>
      <c r="E4" s="583"/>
      <c r="F4" s="583"/>
      <c r="G4" s="583"/>
      <c r="H4" s="583"/>
      <c r="I4" s="584"/>
      <c r="J4" s="543"/>
    </row>
    <row r="5" spans="2:10" ht="23.25" customHeight="1" x14ac:dyDescent="0.3">
      <c r="B5" s="80"/>
      <c r="C5" s="585"/>
      <c r="D5" s="586"/>
      <c r="E5" s="586"/>
      <c r="F5" s="586"/>
      <c r="G5" s="586"/>
      <c r="H5" s="586"/>
      <c r="I5" s="587"/>
      <c r="J5" s="544"/>
    </row>
    <row r="14" spans="2:10" ht="25.8" x14ac:dyDescent="0.5">
      <c r="B14" s="213" t="s">
        <v>196</v>
      </c>
    </row>
    <row r="16" spans="2:10" ht="15" thickBot="1" x14ac:dyDescent="0.35"/>
    <row r="17" spans="2:14" ht="24.75" customHeight="1" x14ac:dyDescent="0.3">
      <c r="B17" s="612" t="s">
        <v>193</v>
      </c>
      <c r="C17" s="613"/>
      <c r="D17" s="614"/>
      <c r="E17" s="229" t="s">
        <v>220</v>
      </c>
      <c r="F17" s="105" t="s">
        <v>221</v>
      </c>
    </row>
    <row r="18" spans="2:14" ht="21" customHeight="1" x14ac:dyDescent="0.35">
      <c r="B18" s="604" t="s">
        <v>26</v>
      </c>
      <c r="C18" s="605"/>
      <c r="D18" s="187" t="s">
        <v>124</v>
      </c>
      <c r="E18" s="188"/>
      <c r="F18" s="188"/>
      <c r="L18" s="59"/>
      <c r="M18" s="59"/>
    </row>
    <row r="19" spans="2:14" ht="21" customHeight="1" x14ac:dyDescent="0.35">
      <c r="B19" s="606"/>
      <c r="C19" s="607"/>
      <c r="D19" s="497" t="s">
        <v>92</v>
      </c>
      <c r="E19" s="499"/>
      <c r="F19" s="499"/>
      <c r="L19" s="59"/>
      <c r="M19" s="59"/>
    </row>
    <row r="20" spans="2:14" ht="20.25" customHeight="1" x14ac:dyDescent="0.35">
      <c r="B20" s="608" t="s">
        <v>27</v>
      </c>
      <c r="C20" s="609"/>
      <c r="D20" s="187" t="s">
        <v>124</v>
      </c>
      <c r="E20" s="498"/>
      <c r="F20" s="498"/>
      <c r="L20" s="59"/>
      <c r="M20" s="59"/>
    </row>
    <row r="21" spans="2:14" ht="20.25" customHeight="1" thickBot="1" x14ac:dyDescent="0.4">
      <c r="B21" s="610"/>
      <c r="C21" s="611"/>
      <c r="D21" s="497" t="s">
        <v>92</v>
      </c>
      <c r="E21" s="220"/>
      <c r="F21" s="220"/>
      <c r="L21" s="59"/>
      <c r="M21" s="59"/>
    </row>
    <row r="22" spans="2:14" ht="18.600000000000001" thickBot="1" x14ac:dyDescent="0.35">
      <c r="B22" s="598" t="s">
        <v>197</v>
      </c>
      <c r="C22" s="599"/>
      <c r="D22" s="496"/>
      <c r="E22" s="231" t="e">
        <f>D20/D18</f>
        <v>#VALUE!</v>
      </c>
      <c r="F22" s="230" t="e">
        <f>F20/F18</f>
        <v>#DIV/0!</v>
      </c>
      <c r="L22" s="59"/>
      <c r="M22" s="59"/>
    </row>
    <row r="23" spans="2:14" ht="15.6" x14ac:dyDescent="0.3">
      <c r="B23" s="186"/>
      <c r="C23" s="186"/>
      <c r="D23" s="186"/>
      <c r="E23" s="165"/>
      <c r="F23" s="165"/>
      <c r="L23" s="59"/>
      <c r="M23" s="59"/>
    </row>
    <row r="24" spans="2:14" ht="15" thickBot="1" x14ac:dyDescent="0.35">
      <c r="M24" s="59"/>
      <c r="N24" s="59"/>
    </row>
    <row r="25" spans="2:14" ht="18.45" customHeight="1" thickBot="1" x14ac:dyDescent="0.35">
      <c r="B25" s="600" t="s">
        <v>194</v>
      </c>
      <c r="C25" s="601"/>
      <c r="D25" s="588" t="s">
        <v>220</v>
      </c>
      <c r="E25" s="589"/>
      <c r="F25" s="590" t="s">
        <v>197</v>
      </c>
      <c r="G25" s="592" t="s">
        <v>231</v>
      </c>
      <c r="K25" s="185"/>
    </row>
    <row r="26" spans="2:14" ht="18.600000000000001" thickBot="1" x14ac:dyDescent="0.4">
      <c r="B26" s="602"/>
      <c r="C26" s="603"/>
      <c r="D26" s="199" t="s">
        <v>146</v>
      </c>
      <c r="E26" s="195" t="s">
        <v>147</v>
      </c>
      <c r="F26" s="591"/>
      <c r="G26" s="593"/>
    </row>
    <row r="27" spans="2:14" ht="18" x14ac:dyDescent="0.35">
      <c r="B27" s="594" t="s">
        <v>130</v>
      </c>
      <c r="C27" s="595"/>
      <c r="D27" s="205"/>
      <c r="E27" s="204"/>
      <c r="F27" s="232" t="e">
        <f>E27/D27</f>
        <v>#DIV/0!</v>
      </c>
      <c r="G27" s="237" t="e">
        <f>D27/D33</f>
        <v>#DIV/0!</v>
      </c>
    </row>
    <row r="28" spans="2:14" ht="18" x14ac:dyDescent="0.35">
      <c r="B28" s="578" t="s">
        <v>131</v>
      </c>
      <c r="C28" s="579"/>
      <c r="D28" s="240"/>
      <c r="E28" s="206"/>
      <c r="F28" s="233" t="e">
        <f t="shared" ref="F28:F32" si="0">E28/D28</f>
        <v>#DIV/0!</v>
      </c>
      <c r="G28" s="207" t="e">
        <f>D28/D33</f>
        <v>#DIV/0!</v>
      </c>
    </row>
    <row r="29" spans="2:14" ht="18" x14ac:dyDescent="0.35">
      <c r="B29" s="596" t="s">
        <v>132</v>
      </c>
      <c r="C29" s="597"/>
      <c r="D29" s="241"/>
      <c r="E29" s="206"/>
      <c r="F29" s="233" t="e">
        <f t="shared" si="0"/>
        <v>#DIV/0!</v>
      </c>
      <c r="G29" s="239" t="e">
        <f>D29/D33</f>
        <v>#DIV/0!</v>
      </c>
      <c r="J29" s="99"/>
    </row>
    <row r="30" spans="2:14" ht="18" x14ac:dyDescent="0.35">
      <c r="B30" s="578" t="s">
        <v>133</v>
      </c>
      <c r="C30" s="579"/>
      <c r="D30" s="240"/>
      <c r="E30" s="209"/>
      <c r="F30" s="233" t="e">
        <f t="shared" si="0"/>
        <v>#DIV/0!</v>
      </c>
      <c r="G30" s="239" t="e">
        <f>D30/D33</f>
        <v>#DIV/0!</v>
      </c>
    </row>
    <row r="31" spans="2:14" ht="18" x14ac:dyDescent="0.35">
      <c r="B31" s="596" t="s">
        <v>134</v>
      </c>
      <c r="C31" s="597"/>
      <c r="D31" s="210"/>
      <c r="E31" s="211"/>
      <c r="F31" s="233" t="e">
        <f t="shared" si="0"/>
        <v>#DIV/0!</v>
      </c>
      <c r="G31" s="239" t="e">
        <f>D31/D33</f>
        <v>#DIV/0!</v>
      </c>
    </row>
    <row r="32" spans="2:14" ht="20.25" customHeight="1" thickBot="1" x14ac:dyDescent="0.35">
      <c r="B32" s="574" t="s">
        <v>135</v>
      </c>
      <c r="C32" s="575"/>
      <c r="D32" s="242"/>
      <c r="E32" s="208"/>
      <c r="F32" s="233" t="e">
        <f t="shared" si="0"/>
        <v>#DIV/0!</v>
      </c>
      <c r="G32" s="238" t="e">
        <f>D32/D33</f>
        <v>#DIV/0!</v>
      </c>
    </row>
    <row r="33" spans="2:8" ht="24" customHeight="1" thickBot="1" x14ac:dyDescent="0.35">
      <c r="B33" s="576" t="s">
        <v>1</v>
      </c>
      <c r="C33" s="577"/>
      <c r="D33" s="234">
        <f>D27+D28+D29+D30+D31+D32</f>
        <v>0</v>
      </c>
      <c r="E33" s="235">
        <f>E27+E28+E29+E30+E31+E32</f>
        <v>0</v>
      </c>
      <c r="F33" s="212" t="e">
        <f>E33/D33</f>
        <v>#DIV/0!</v>
      </c>
      <c r="G33" s="236"/>
    </row>
    <row r="34" spans="2:8" x14ac:dyDescent="0.3">
      <c r="H34" s="170"/>
    </row>
  </sheetData>
  <mergeCells count="17">
    <mergeCell ref="B31:C31"/>
    <mergeCell ref="B32:C32"/>
    <mergeCell ref="J2:J5"/>
    <mergeCell ref="B33:C33"/>
    <mergeCell ref="B28:C28"/>
    <mergeCell ref="C2:I5"/>
    <mergeCell ref="D25:E25"/>
    <mergeCell ref="F25:F26"/>
    <mergeCell ref="G25:G26"/>
    <mergeCell ref="B27:C27"/>
    <mergeCell ref="B29:C29"/>
    <mergeCell ref="B22:C22"/>
    <mergeCell ref="B25:C26"/>
    <mergeCell ref="B30:C30"/>
    <mergeCell ref="B18:C19"/>
    <mergeCell ref="B20:C21"/>
    <mergeCell ref="B17:D1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M34"/>
  <sheetViews>
    <sheetView showGridLines="0" topLeftCell="A7" workbookViewId="0">
      <selection activeCell="L2" sqref="L2:L5"/>
    </sheetView>
  </sheetViews>
  <sheetFormatPr baseColWidth="10" defaultRowHeight="14.4" x14ac:dyDescent="0.3"/>
  <cols>
    <col min="2" max="2" width="31.44140625" customWidth="1"/>
    <col min="3" max="3" width="19.5546875" bestFit="1" customWidth="1"/>
    <col min="4" max="4" width="16.109375" customWidth="1"/>
    <col min="5" max="5" width="12.5546875" customWidth="1"/>
    <col min="6" max="6" width="9.88671875" customWidth="1"/>
    <col min="7" max="7" width="29.109375" customWidth="1"/>
    <col min="8" max="8" width="9.5546875" customWidth="1"/>
  </cols>
  <sheetData>
    <row r="2" spans="2:12" ht="15" customHeight="1" x14ac:dyDescent="0.3">
      <c r="B2" s="78"/>
      <c r="C2" s="545" t="s">
        <v>224</v>
      </c>
      <c r="D2" s="546"/>
      <c r="E2" s="546"/>
      <c r="F2" s="546"/>
      <c r="G2" s="546"/>
      <c r="H2" s="546"/>
      <c r="I2" s="546"/>
      <c r="J2" s="546"/>
      <c r="K2" s="547"/>
      <c r="L2" s="542" t="s">
        <v>186</v>
      </c>
    </row>
    <row r="3" spans="2:12" ht="20.25" customHeight="1" x14ac:dyDescent="0.3">
      <c r="B3" s="79"/>
      <c r="C3" s="548"/>
      <c r="D3" s="549"/>
      <c r="E3" s="549"/>
      <c r="F3" s="549"/>
      <c r="G3" s="549"/>
      <c r="H3" s="549"/>
      <c r="I3" s="549"/>
      <c r="J3" s="549"/>
      <c r="K3" s="550"/>
      <c r="L3" s="543"/>
    </row>
    <row r="4" spans="2:12" ht="15" customHeight="1" x14ac:dyDescent="0.3">
      <c r="B4" s="79"/>
      <c r="C4" s="548"/>
      <c r="D4" s="549"/>
      <c r="E4" s="549"/>
      <c r="F4" s="549"/>
      <c r="G4" s="549"/>
      <c r="H4" s="549"/>
      <c r="I4" s="549"/>
      <c r="J4" s="549"/>
      <c r="K4" s="550"/>
      <c r="L4" s="543"/>
    </row>
    <row r="5" spans="2:12" ht="21.75" customHeight="1" x14ac:dyDescent="0.3">
      <c r="B5" s="80"/>
      <c r="C5" s="551"/>
      <c r="D5" s="552"/>
      <c r="E5" s="552"/>
      <c r="F5" s="552"/>
      <c r="G5" s="552"/>
      <c r="H5" s="552"/>
      <c r="I5" s="552"/>
      <c r="J5" s="552"/>
      <c r="K5" s="553"/>
      <c r="L5" s="544"/>
    </row>
    <row r="14" spans="2:12" ht="25.8" x14ac:dyDescent="0.5">
      <c r="B14" s="154" t="s">
        <v>179</v>
      </c>
    </row>
    <row r="15" spans="2:12" ht="15" thickBot="1" x14ac:dyDescent="0.35"/>
    <row r="16" spans="2:12" ht="21" x14ac:dyDescent="0.3">
      <c r="B16" s="617" t="s">
        <v>82</v>
      </c>
      <c r="C16" s="181" t="s">
        <v>149</v>
      </c>
      <c r="D16" s="171" t="s">
        <v>220</v>
      </c>
      <c r="E16" s="168" t="s">
        <v>221</v>
      </c>
      <c r="F16" s="226" t="s">
        <v>195</v>
      </c>
    </row>
    <row r="17" spans="2:13" ht="18" x14ac:dyDescent="0.3">
      <c r="B17" s="618"/>
      <c r="C17" s="172" t="s">
        <v>127</v>
      </c>
      <c r="D17" s="176"/>
      <c r="E17" s="176"/>
      <c r="F17" s="223" t="e">
        <f>(E17-D17)/D17</f>
        <v>#DIV/0!</v>
      </c>
    </row>
    <row r="18" spans="2:13" s="20" customFormat="1" ht="18" x14ac:dyDescent="0.3">
      <c r="B18" s="618"/>
      <c r="C18" s="173" t="s">
        <v>128</v>
      </c>
      <c r="D18" s="177"/>
      <c r="E18" s="177"/>
      <c r="F18" s="225" t="e">
        <f>(E18-D18)/D18</f>
        <v>#DIV/0!</v>
      </c>
      <c r="K18" s="13"/>
      <c r="L18" s="13"/>
    </row>
    <row r="19" spans="2:13" ht="18" x14ac:dyDescent="0.3">
      <c r="B19" s="618"/>
      <c r="C19" s="174" t="s">
        <v>129</v>
      </c>
      <c r="D19" s="178"/>
      <c r="E19" s="179"/>
      <c r="F19" s="224" t="e">
        <f>(E19-D19)/D19</f>
        <v>#DIV/0!</v>
      </c>
      <c r="K19" s="9"/>
      <c r="L19" s="9"/>
    </row>
    <row r="20" spans="2:13" s="20" customFormat="1" ht="18.600000000000001" thickBot="1" x14ac:dyDescent="0.35">
      <c r="B20" s="619"/>
      <c r="C20" s="175" t="s">
        <v>141</v>
      </c>
      <c r="D20" s="180"/>
      <c r="E20" s="180"/>
      <c r="F20" s="227" t="e">
        <f>(E20-D20)/D20</f>
        <v>#DIV/0!</v>
      </c>
      <c r="K20" s="13"/>
      <c r="L20" s="13"/>
    </row>
    <row r="21" spans="2:13" s="20" customFormat="1" ht="21" customHeight="1" thickBot="1" x14ac:dyDescent="0.35">
      <c r="B21" s="615" t="s">
        <v>1</v>
      </c>
      <c r="C21" s="616"/>
      <c r="D21" s="182">
        <f>D17+D18+D19+D20</f>
        <v>0</v>
      </c>
      <c r="E21" s="183">
        <f t="shared" ref="E21" si="0">E17+E18+E19+E20</f>
        <v>0</v>
      </c>
      <c r="F21" s="228" t="e">
        <f>(E21-D21)/D21</f>
        <v>#DIV/0!</v>
      </c>
      <c r="G21" s="166"/>
      <c r="K21" s="13"/>
      <c r="L21" s="13"/>
    </row>
    <row r="22" spans="2:13" s="20" customFormat="1" ht="15" thickBot="1" x14ac:dyDescent="0.35">
      <c r="C22"/>
      <c r="F22" s="215"/>
      <c r="L22" s="13"/>
      <c r="M22" s="13"/>
    </row>
    <row r="23" spans="2:13" s="20" customFormat="1" ht="21" x14ac:dyDescent="0.3">
      <c r="B23" s="617" t="s">
        <v>83</v>
      </c>
      <c r="C23" s="169" t="s">
        <v>149</v>
      </c>
      <c r="D23" s="168" t="s">
        <v>220</v>
      </c>
      <c r="E23" s="168" t="s">
        <v>221</v>
      </c>
      <c r="F23" s="226" t="s">
        <v>195</v>
      </c>
      <c r="K23" s="13"/>
      <c r="L23" s="13"/>
    </row>
    <row r="24" spans="2:13" ht="18" x14ac:dyDescent="0.3">
      <c r="B24" s="618"/>
      <c r="C24" s="172" t="s">
        <v>127</v>
      </c>
      <c r="D24" s="176"/>
      <c r="E24" s="176"/>
      <c r="F24" s="223" t="e">
        <f>(E24-D24)/D24</f>
        <v>#DIV/0!</v>
      </c>
    </row>
    <row r="25" spans="2:13" s="20" customFormat="1" ht="18" x14ac:dyDescent="0.3">
      <c r="B25" s="618"/>
      <c r="C25" s="173" t="s">
        <v>128</v>
      </c>
      <c r="D25" s="177"/>
      <c r="E25" s="177"/>
      <c r="F25" s="225" t="e">
        <f>(E25-D25)/D25</f>
        <v>#DIV/0!</v>
      </c>
    </row>
    <row r="26" spans="2:13" ht="18" x14ac:dyDescent="0.3">
      <c r="B26" s="618"/>
      <c r="C26" s="174" t="s">
        <v>129</v>
      </c>
      <c r="D26" s="178"/>
      <c r="E26" s="179"/>
      <c r="F26" s="224" t="e">
        <f>(E26-D26)/D26</f>
        <v>#DIV/0!</v>
      </c>
    </row>
    <row r="27" spans="2:13" s="20" customFormat="1" ht="18.600000000000001" thickBot="1" x14ac:dyDescent="0.35">
      <c r="B27" s="619"/>
      <c r="C27" s="175" t="s">
        <v>141</v>
      </c>
      <c r="D27" s="180"/>
      <c r="E27" s="180"/>
      <c r="F27" s="227" t="e">
        <f>(E27-D27)/D27</f>
        <v>#DIV/0!</v>
      </c>
      <c r="G27" s="164"/>
    </row>
    <row r="28" spans="2:13" ht="23.25" customHeight="1" thickBot="1" x14ac:dyDescent="0.35">
      <c r="B28" s="615" t="s">
        <v>1</v>
      </c>
      <c r="C28" s="616"/>
      <c r="D28" s="182">
        <f>D24+D25+D26+D27</f>
        <v>0</v>
      </c>
      <c r="E28" s="184">
        <f t="shared" ref="E28" si="1">E24+E25+E26+E27</f>
        <v>0</v>
      </c>
      <c r="F28" s="228" t="e">
        <f>(E28-D28)/D28</f>
        <v>#DIV/0!</v>
      </c>
      <c r="G28" s="170"/>
    </row>
    <row r="29" spans="2:13" s="20" customFormat="1" x14ac:dyDescent="0.3">
      <c r="F29" s="167"/>
      <c r="G29"/>
      <c r="H29"/>
    </row>
    <row r="31" spans="2:13" s="20" customFormat="1" x14ac:dyDescent="0.3">
      <c r="G31"/>
      <c r="H31"/>
    </row>
    <row r="34" spans="2:2" x14ac:dyDescent="0.3">
      <c r="B34" s="2"/>
    </row>
  </sheetData>
  <mergeCells count="6">
    <mergeCell ref="L2:L5"/>
    <mergeCell ref="B28:C28"/>
    <mergeCell ref="B16:B20"/>
    <mergeCell ref="B23:B27"/>
    <mergeCell ref="B21:C21"/>
    <mergeCell ref="C2:K5"/>
  </mergeCells>
  <conditionalFormatting sqref="D16">
    <cfRule type="duplicateValues" dxfId="11" priority="6"/>
  </conditionalFormatting>
  <conditionalFormatting sqref="D23">
    <cfRule type="duplicateValues" dxfId="10" priority="2"/>
  </conditionalFormatting>
  <conditionalFormatting sqref="F23">
    <cfRule type="duplicateValues" dxfId="9" priority="1"/>
  </conditionalFormatting>
  <conditionalFormatting sqref="E16:F16">
    <cfRule type="duplicateValues" dxfId="8" priority="10"/>
  </conditionalFormatting>
  <conditionalFormatting sqref="E23">
    <cfRule type="duplicateValues" dxfId="7" priority="11"/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M19"/>
  <sheetViews>
    <sheetView showGridLines="0" workbookViewId="0">
      <selection activeCell="I17" sqref="I17"/>
    </sheetView>
  </sheetViews>
  <sheetFormatPr baseColWidth="10" defaultRowHeight="14.4" x14ac:dyDescent="0.3"/>
  <cols>
    <col min="2" max="2" width="25.5546875" customWidth="1"/>
    <col min="8" max="8" width="30" customWidth="1"/>
    <col min="13" max="13" width="11.44140625" style="523"/>
  </cols>
  <sheetData>
    <row r="2" spans="2:13" ht="15" customHeight="1" x14ac:dyDescent="0.3">
      <c r="B2" s="78"/>
      <c r="C2" s="545" t="s">
        <v>224</v>
      </c>
      <c r="D2" s="546"/>
      <c r="E2" s="546"/>
      <c r="F2" s="546"/>
      <c r="G2" s="546"/>
      <c r="H2" s="546"/>
      <c r="I2" s="546"/>
      <c r="J2" s="546"/>
      <c r="K2" s="546"/>
      <c r="L2" s="547"/>
      <c r="M2" s="542" t="s">
        <v>186</v>
      </c>
    </row>
    <row r="3" spans="2:13" ht="15" customHeight="1" x14ac:dyDescent="0.3">
      <c r="B3" s="79"/>
      <c r="C3" s="548"/>
      <c r="D3" s="549"/>
      <c r="E3" s="549"/>
      <c r="F3" s="549"/>
      <c r="G3" s="549"/>
      <c r="H3" s="549"/>
      <c r="I3" s="549"/>
      <c r="J3" s="549"/>
      <c r="K3" s="549"/>
      <c r="L3" s="550"/>
      <c r="M3" s="543"/>
    </row>
    <row r="4" spans="2:13" ht="18" customHeight="1" x14ac:dyDescent="0.3">
      <c r="B4" s="79"/>
      <c r="C4" s="548"/>
      <c r="D4" s="549"/>
      <c r="E4" s="549"/>
      <c r="F4" s="549"/>
      <c r="G4" s="549"/>
      <c r="H4" s="549"/>
      <c r="I4" s="549"/>
      <c r="J4" s="549"/>
      <c r="K4" s="549"/>
      <c r="L4" s="550"/>
      <c r="M4" s="543"/>
    </row>
    <row r="5" spans="2:13" ht="24" customHeight="1" x14ac:dyDescent="0.3">
      <c r="B5" s="80"/>
      <c r="C5" s="551"/>
      <c r="D5" s="552"/>
      <c r="E5" s="552"/>
      <c r="F5" s="552"/>
      <c r="G5" s="552"/>
      <c r="H5" s="552"/>
      <c r="I5" s="552"/>
      <c r="J5" s="552"/>
      <c r="K5" s="552"/>
      <c r="L5" s="553"/>
      <c r="M5" s="544"/>
    </row>
    <row r="14" spans="2:13" ht="23.4" x14ac:dyDescent="0.45">
      <c r="B14" s="459" t="s">
        <v>205</v>
      </c>
    </row>
    <row r="16" spans="2:13" ht="18.600000000000001" thickBot="1" x14ac:dyDescent="0.35">
      <c r="B16" s="620" t="s">
        <v>123</v>
      </c>
      <c r="C16" s="629" t="s">
        <v>220</v>
      </c>
      <c r="D16" s="630"/>
      <c r="E16" s="629" t="s">
        <v>221</v>
      </c>
      <c r="F16" s="630"/>
      <c r="G16" s="625" t="s">
        <v>195</v>
      </c>
      <c r="L16" s="523"/>
      <c r="M16"/>
    </row>
    <row r="17" spans="2:13" ht="18.600000000000001" thickBot="1" x14ac:dyDescent="0.35">
      <c r="B17" s="621"/>
      <c r="C17" s="525" t="s">
        <v>124</v>
      </c>
      <c r="D17" s="526" t="s">
        <v>92</v>
      </c>
      <c r="E17" s="527" t="s">
        <v>124</v>
      </c>
      <c r="F17" s="526" t="s">
        <v>92</v>
      </c>
      <c r="G17" s="626"/>
      <c r="L17" s="523"/>
      <c r="M17"/>
    </row>
    <row r="18" spans="2:13" ht="18.600000000000001" thickBot="1" x14ac:dyDescent="0.4">
      <c r="B18" s="621"/>
      <c r="C18" s="455"/>
      <c r="D18" s="456"/>
      <c r="E18" s="455"/>
      <c r="F18" s="458">
        <f>+C18+E18</f>
        <v>0</v>
      </c>
      <c r="G18" s="627" t="e">
        <f>(E19-C19)/C19</f>
        <v>#DIV/0!</v>
      </c>
      <c r="L18" s="523"/>
      <c r="M18"/>
    </row>
    <row r="19" spans="2:13" ht="18.600000000000001" thickBot="1" x14ac:dyDescent="0.35">
      <c r="B19" s="457" t="s">
        <v>1</v>
      </c>
      <c r="C19" s="622">
        <f>D18+C18</f>
        <v>0</v>
      </c>
      <c r="D19" s="623"/>
      <c r="E19" s="622">
        <f>F18+E18</f>
        <v>0</v>
      </c>
      <c r="F19" s="624"/>
      <c r="G19" s="628"/>
      <c r="L19" s="523"/>
      <c r="M19"/>
    </row>
  </sheetData>
  <mergeCells count="9">
    <mergeCell ref="M2:M5"/>
    <mergeCell ref="B16:B18"/>
    <mergeCell ref="C2:L5"/>
    <mergeCell ref="C19:D19"/>
    <mergeCell ref="E19:F19"/>
    <mergeCell ref="G16:G17"/>
    <mergeCell ref="G18:G19"/>
    <mergeCell ref="C16:D16"/>
    <mergeCell ref="E16:F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J24"/>
  <sheetViews>
    <sheetView showGridLines="0" topLeftCell="A4" workbookViewId="0">
      <selection activeCell="F17" sqref="F17"/>
    </sheetView>
  </sheetViews>
  <sheetFormatPr baseColWidth="10" defaultRowHeight="14.4" x14ac:dyDescent="0.3"/>
  <cols>
    <col min="2" max="2" width="43.6640625" bestFit="1" customWidth="1"/>
    <col min="3" max="3" width="16.33203125" customWidth="1"/>
    <col min="4" max="4" width="17.44140625" customWidth="1"/>
    <col min="6" max="6" width="30.44140625" bestFit="1" customWidth="1"/>
    <col min="8" max="8" width="24.88671875" customWidth="1"/>
    <col min="9" max="9" width="31.5546875" customWidth="1"/>
  </cols>
  <sheetData>
    <row r="2" spans="2:10" x14ac:dyDescent="0.3">
      <c r="B2" s="78"/>
      <c r="C2" s="545" t="s">
        <v>224</v>
      </c>
      <c r="D2" s="580"/>
      <c r="E2" s="580"/>
      <c r="F2" s="580"/>
      <c r="G2" s="580"/>
      <c r="H2" s="580"/>
      <c r="I2" s="581"/>
      <c r="J2" s="542" t="s">
        <v>186</v>
      </c>
    </row>
    <row r="3" spans="2:10" ht="28.5" customHeight="1" x14ac:dyDescent="0.3">
      <c r="B3" s="79"/>
      <c r="C3" s="582"/>
      <c r="D3" s="583"/>
      <c r="E3" s="583"/>
      <c r="F3" s="583"/>
      <c r="G3" s="583"/>
      <c r="H3" s="583"/>
      <c r="I3" s="584"/>
      <c r="J3" s="543"/>
    </row>
    <row r="4" spans="2:10" ht="26.25" customHeight="1" x14ac:dyDescent="0.3">
      <c r="B4" s="79"/>
      <c r="C4" s="582"/>
      <c r="D4" s="583"/>
      <c r="E4" s="583"/>
      <c r="F4" s="583"/>
      <c r="G4" s="583"/>
      <c r="H4" s="583"/>
      <c r="I4" s="584"/>
      <c r="J4" s="543"/>
    </row>
    <row r="5" spans="2:10" x14ac:dyDescent="0.3">
      <c r="B5" s="80"/>
      <c r="C5" s="585"/>
      <c r="D5" s="586"/>
      <c r="E5" s="586"/>
      <c r="F5" s="586"/>
      <c r="G5" s="586"/>
      <c r="H5" s="586"/>
      <c r="I5" s="587"/>
      <c r="J5" s="544"/>
    </row>
    <row r="15" spans="2:10" ht="15" thickBot="1" x14ac:dyDescent="0.35"/>
    <row r="16" spans="2:10" ht="18.600000000000001" thickBot="1" x14ac:dyDescent="0.35">
      <c r="B16" s="518" t="s">
        <v>211</v>
      </c>
      <c r="C16" s="519" t="s">
        <v>220</v>
      </c>
      <c r="D16" s="519" t="s">
        <v>221</v>
      </c>
      <c r="E16" s="519" t="s">
        <v>64</v>
      </c>
    </row>
    <row r="17" spans="2:5" x14ac:dyDescent="0.3">
      <c r="B17" s="507" t="s">
        <v>212</v>
      </c>
      <c r="C17" s="506"/>
      <c r="D17" s="505"/>
      <c r="E17" s="504" t="e">
        <f>(D17-C17)/C17</f>
        <v>#DIV/0!</v>
      </c>
    </row>
    <row r="18" spans="2:5" x14ac:dyDescent="0.3">
      <c r="B18" s="520" t="s">
        <v>213</v>
      </c>
      <c r="C18" s="508"/>
      <c r="D18" s="513"/>
      <c r="E18" s="521" t="e">
        <f>(D18-C18)/C18</f>
        <v>#DIV/0!</v>
      </c>
    </row>
    <row r="19" spans="2:5" x14ac:dyDescent="0.3">
      <c r="B19" s="517" t="s">
        <v>214</v>
      </c>
      <c r="C19" s="510"/>
      <c r="D19" s="515"/>
      <c r="E19" s="522" t="e">
        <f t="shared" ref="E19:E24" si="0">(D19-C19)/C19</f>
        <v>#DIV/0!</v>
      </c>
    </row>
    <row r="20" spans="2:5" x14ac:dyDescent="0.3">
      <c r="B20" s="516" t="s">
        <v>215</v>
      </c>
      <c r="C20" s="509"/>
      <c r="D20" s="513"/>
      <c r="E20" s="522" t="e">
        <f t="shared" si="0"/>
        <v>#DIV/0!</v>
      </c>
    </row>
    <row r="21" spans="2:5" x14ac:dyDescent="0.3">
      <c r="B21" s="511" t="s">
        <v>216</v>
      </c>
      <c r="C21" s="502"/>
      <c r="D21" s="514"/>
      <c r="E21" s="522" t="e">
        <f t="shared" si="0"/>
        <v>#DIV/0!</v>
      </c>
    </row>
    <row r="22" spans="2:5" x14ac:dyDescent="0.3">
      <c r="B22" s="516" t="s">
        <v>217</v>
      </c>
      <c r="C22" s="509"/>
      <c r="D22" s="513"/>
      <c r="E22" s="522" t="e">
        <f t="shared" si="0"/>
        <v>#DIV/0!</v>
      </c>
    </row>
    <row r="23" spans="2:5" x14ac:dyDescent="0.3">
      <c r="B23" s="517" t="s">
        <v>218</v>
      </c>
      <c r="C23" s="510"/>
      <c r="D23" s="515"/>
      <c r="E23" s="522" t="e">
        <f t="shared" si="0"/>
        <v>#DIV/0!</v>
      </c>
    </row>
    <row r="24" spans="2:5" ht="15" thickBot="1" x14ac:dyDescent="0.35">
      <c r="B24" s="512" t="s">
        <v>219</v>
      </c>
      <c r="C24" s="501"/>
      <c r="D24" s="500"/>
      <c r="E24" s="503" t="e">
        <f t="shared" si="0"/>
        <v>#DIV/0!</v>
      </c>
    </row>
  </sheetData>
  <mergeCells count="2">
    <mergeCell ref="C2:I5"/>
    <mergeCell ref="J2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L19"/>
  <sheetViews>
    <sheetView showGridLines="0" workbookViewId="0">
      <selection activeCell="C2" sqref="C2:K5"/>
    </sheetView>
  </sheetViews>
  <sheetFormatPr baseColWidth="10" defaultRowHeight="14.4" x14ac:dyDescent="0.3"/>
  <cols>
    <col min="2" max="2" width="27.88671875" customWidth="1"/>
    <col min="7" max="7" width="28.33203125" bestFit="1" customWidth="1"/>
  </cols>
  <sheetData>
    <row r="2" spans="2:12" ht="15" customHeight="1" x14ac:dyDescent="0.3">
      <c r="B2" s="78"/>
      <c r="C2" s="545" t="s">
        <v>224</v>
      </c>
      <c r="D2" s="546"/>
      <c r="E2" s="546"/>
      <c r="F2" s="546"/>
      <c r="G2" s="546"/>
      <c r="H2" s="546"/>
      <c r="I2" s="546"/>
      <c r="J2" s="546"/>
      <c r="K2" s="546"/>
      <c r="L2" s="542" t="s">
        <v>186</v>
      </c>
    </row>
    <row r="3" spans="2:12" ht="22.5" customHeight="1" x14ac:dyDescent="0.3">
      <c r="B3" s="79"/>
      <c r="C3" s="548"/>
      <c r="D3" s="549"/>
      <c r="E3" s="549"/>
      <c r="F3" s="549"/>
      <c r="G3" s="549"/>
      <c r="H3" s="549"/>
      <c r="I3" s="549"/>
      <c r="J3" s="549"/>
      <c r="K3" s="549"/>
      <c r="L3" s="543"/>
    </row>
    <row r="4" spans="2:12" ht="23.25" customHeight="1" x14ac:dyDescent="0.3">
      <c r="B4" s="79"/>
      <c r="C4" s="548"/>
      <c r="D4" s="549"/>
      <c r="E4" s="549"/>
      <c r="F4" s="549"/>
      <c r="G4" s="549"/>
      <c r="H4" s="549"/>
      <c r="I4" s="549"/>
      <c r="J4" s="549"/>
      <c r="K4" s="549"/>
      <c r="L4" s="543"/>
    </row>
    <row r="5" spans="2:12" ht="15" customHeight="1" x14ac:dyDescent="0.3">
      <c r="B5" s="80"/>
      <c r="C5" s="551"/>
      <c r="D5" s="552"/>
      <c r="E5" s="552"/>
      <c r="F5" s="552"/>
      <c r="G5" s="552"/>
      <c r="H5" s="552"/>
      <c r="I5" s="552"/>
      <c r="J5" s="552"/>
      <c r="K5" s="552"/>
      <c r="L5" s="544"/>
    </row>
    <row r="6" spans="2:12" ht="15" customHeight="1" x14ac:dyDescent="0.3">
      <c r="L6" s="524"/>
    </row>
    <row r="7" spans="2:12" ht="15" customHeight="1" x14ac:dyDescent="0.3">
      <c r="L7" s="524"/>
    </row>
    <row r="15" spans="2:12" ht="18.600000000000001" thickBot="1" x14ac:dyDescent="0.35">
      <c r="B15" s="620" t="s">
        <v>206</v>
      </c>
      <c r="C15" s="629" t="s">
        <v>220</v>
      </c>
      <c r="D15" s="630"/>
      <c r="E15" s="629" t="s">
        <v>221</v>
      </c>
      <c r="F15" s="630"/>
    </row>
    <row r="16" spans="2:12" ht="18.600000000000001" thickBot="1" x14ac:dyDescent="0.35">
      <c r="B16" s="621"/>
      <c r="C16" s="525" t="s">
        <v>124</v>
      </c>
      <c r="D16" s="526" t="s">
        <v>92</v>
      </c>
      <c r="E16" s="527" t="s">
        <v>124</v>
      </c>
      <c r="F16" s="526" t="s">
        <v>92</v>
      </c>
    </row>
    <row r="17" spans="2:6" ht="39" customHeight="1" x14ac:dyDescent="0.35">
      <c r="B17" s="529" t="s">
        <v>232</v>
      </c>
      <c r="C17" s="531"/>
      <c r="D17" s="532"/>
      <c r="E17" s="531"/>
      <c r="F17" s="532"/>
    </row>
    <row r="18" spans="2:6" ht="29.25" customHeight="1" thickBot="1" x14ac:dyDescent="0.4">
      <c r="B18" s="528" t="s">
        <v>233</v>
      </c>
      <c r="C18" s="530"/>
      <c r="D18" s="456"/>
      <c r="E18" s="530"/>
      <c r="F18" s="456"/>
    </row>
    <row r="19" spans="2:6" ht="18.600000000000001" thickBot="1" x14ac:dyDescent="0.35">
      <c r="B19" s="457" t="s">
        <v>1</v>
      </c>
      <c r="C19" s="533" t="e">
        <f>+C18/C17</f>
        <v>#DIV/0!</v>
      </c>
      <c r="D19" s="535" t="e">
        <f>+D18/D17</f>
        <v>#DIV/0!</v>
      </c>
      <c r="E19" s="533" t="e">
        <f t="shared" ref="E19:F19" si="0">+E18/E17</f>
        <v>#DIV/0!</v>
      </c>
      <c r="F19" s="534" t="e">
        <f t="shared" si="0"/>
        <v>#DIV/0!</v>
      </c>
    </row>
  </sheetData>
  <mergeCells count="5">
    <mergeCell ref="E15:F15"/>
    <mergeCell ref="C15:D15"/>
    <mergeCell ref="B15:B16"/>
    <mergeCell ref="L2:L5"/>
    <mergeCell ref="C2:K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2:J78"/>
  <sheetViews>
    <sheetView showGridLines="0" topLeftCell="A76" zoomScale="80" zoomScaleNormal="80" workbookViewId="0">
      <selection activeCell="B42" sqref="B42"/>
    </sheetView>
  </sheetViews>
  <sheetFormatPr baseColWidth="10" defaultRowHeight="14.4" x14ac:dyDescent="0.3"/>
  <cols>
    <col min="2" max="2" width="44.6640625" customWidth="1"/>
    <col min="3" max="3" width="42.6640625" bestFit="1" customWidth="1"/>
    <col min="4" max="4" width="19.6640625" customWidth="1"/>
    <col min="5" max="5" width="28.33203125" bestFit="1" customWidth="1"/>
    <col min="6" max="6" width="25.44140625" customWidth="1"/>
    <col min="7" max="7" width="15.33203125" customWidth="1"/>
    <col min="8" max="8" width="14" customWidth="1"/>
    <col min="9" max="9" width="7" customWidth="1"/>
    <col min="10" max="10" width="18.5546875" customWidth="1"/>
  </cols>
  <sheetData>
    <row r="2" spans="2:10" x14ac:dyDescent="0.3">
      <c r="B2" s="78"/>
      <c r="C2" s="546" t="s">
        <v>225</v>
      </c>
      <c r="D2" s="580"/>
      <c r="E2" s="580"/>
      <c r="F2" s="580"/>
      <c r="G2" s="580"/>
      <c r="H2" s="580"/>
      <c r="I2" s="580"/>
      <c r="J2" s="631" t="s">
        <v>186</v>
      </c>
    </row>
    <row r="3" spans="2:10" x14ac:dyDescent="0.3">
      <c r="B3" s="79"/>
      <c r="C3" s="583"/>
      <c r="D3" s="583"/>
      <c r="E3" s="583"/>
      <c r="F3" s="583"/>
      <c r="G3" s="583"/>
      <c r="H3" s="583"/>
      <c r="I3" s="583"/>
      <c r="J3" s="632"/>
    </row>
    <row r="4" spans="2:10" x14ac:dyDescent="0.3">
      <c r="B4" s="79"/>
      <c r="C4" s="583"/>
      <c r="D4" s="583"/>
      <c r="E4" s="583"/>
      <c r="F4" s="583"/>
      <c r="G4" s="583"/>
      <c r="H4" s="583"/>
      <c r="I4" s="583"/>
      <c r="J4" s="632"/>
    </row>
    <row r="5" spans="2:10" x14ac:dyDescent="0.3">
      <c r="B5" s="79"/>
      <c r="C5" s="583"/>
      <c r="D5" s="583"/>
      <c r="E5" s="583"/>
      <c r="F5" s="583"/>
      <c r="G5" s="583"/>
      <c r="H5" s="583"/>
      <c r="I5" s="583"/>
      <c r="J5" s="632"/>
    </row>
    <row r="6" spans="2:10" x14ac:dyDescent="0.3">
      <c r="B6" s="79"/>
      <c r="C6" s="583"/>
      <c r="D6" s="583"/>
      <c r="E6" s="583"/>
      <c r="F6" s="583"/>
      <c r="G6" s="583"/>
      <c r="H6" s="583"/>
      <c r="I6" s="583"/>
      <c r="J6" s="632"/>
    </row>
    <row r="7" spans="2:10" x14ac:dyDescent="0.3">
      <c r="B7" s="80"/>
      <c r="C7" s="586"/>
      <c r="D7" s="586"/>
      <c r="E7" s="586"/>
      <c r="F7" s="586"/>
      <c r="G7" s="586"/>
      <c r="H7" s="586"/>
      <c r="I7" s="586"/>
      <c r="J7" s="633"/>
    </row>
    <row r="17" spans="2:9" ht="25.8" x14ac:dyDescent="0.5">
      <c r="B17" s="154" t="s">
        <v>169</v>
      </c>
      <c r="C17" s="82"/>
      <c r="I17" s="9"/>
    </row>
    <row r="19" spans="2:9" ht="15" thickBot="1" x14ac:dyDescent="0.35"/>
    <row r="20" spans="2:9" ht="25.5" customHeight="1" thickBot="1" x14ac:dyDescent="0.35">
      <c r="B20" s="251" t="s">
        <v>166</v>
      </c>
      <c r="C20" s="249" t="s">
        <v>220</v>
      </c>
      <c r="D20" s="250" t="s">
        <v>221</v>
      </c>
    </row>
    <row r="21" spans="2:9" ht="18" x14ac:dyDescent="0.3">
      <c r="B21" s="252" t="s">
        <v>163</v>
      </c>
      <c r="C21" s="205"/>
      <c r="D21" s="245"/>
    </row>
    <row r="22" spans="2:9" ht="18" x14ac:dyDescent="0.3">
      <c r="B22" s="253" t="s">
        <v>164</v>
      </c>
      <c r="C22" s="210"/>
      <c r="D22" s="246"/>
    </row>
    <row r="23" spans="2:9" ht="18.600000000000001" thickBot="1" x14ac:dyDescent="0.35">
      <c r="B23" s="254" t="s">
        <v>165</v>
      </c>
      <c r="C23" s="255"/>
      <c r="D23" s="247"/>
    </row>
    <row r="24" spans="2:9" ht="15" customHeight="1" x14ac:dyDescent="0.3"/>
    <row r="25" spans="2:9" ht="15" thickBot="1" x14ac:dyDescent="0.35">
      <c r="B25" s="9"/>
      <c r="C25" s="9"/>
      <c r="D25" s="9"/>
      <c r="E25" s="9"/>
      <c r="F25" s="9"/>
      <c r="G25" s="9"/>
      <c r="H25" s="9"/>
      <c r="I25" s="9"/>
    </row>
    <row r="26" spans="2:9" ht="35.25" customHeight="1" thickBot="1" x14ac:dyDescent="0.35">
      <c r="B26" s="251" t="s">
        <v>84</v>
      </c>
      <c r="C26" s="249" t="s">
        <v>148</v>
      </c>
      <c r="D26" s="249" t="s">
        <v>220</v>
      </c>
      <c r="E26" s="249" t="s">
        <v>221</v>
      </c>
      <c r="G26" s="9"/>
      <c r="H26" s="9"/>
    </row>
    <row r="27" spans="2:9" ht="35.25" customHeight="1" x14ac:dyDescent="0.3">
      <c r="B27" s="260" t="s">
        <v>85</v>
      </c>
      <c r="C27" s="257" t="s">
        <v>86</v>
      </c>
      <c r="D27" s="257"/>
      <c r="E27" s="257"/>
      <c r="F27" s="9"/>
      <c r="G27" s="9"/>
      <c r="H27" s="9"/>
    </row>
    <row r="28" spans="2:9" ht="27" customHeight="1" x14ac:dyDescent="0.3">
      <c r="B28" s="261" t="s">
        <v>120</v>
      </c>
      <c r="C28" s="258" t="s">
        <v>2</v>
      </c>
      <c r="D28" s="259"/>
      <c r="E28" s="259"/>
      <c r="G28" s="9"/>
      <c r="H28" s="9"/>
    </row>
    <row r="29" spans="2:9" ht="27" customHeight="1" x14ac:dyDescent="0.3">
      <c r="B29" s="641" t="s">
        <v>121</v>
      </c>
      <c r="C29" s="241" t="s">
        <v>87</v>
      </c>
      <c r="D29" s="210"/>
      <c r="E29" s="241"/>
      <c r="F29" s="9"/>
      <c r="G29" s="9"/>
      <c r="H29" s="9"/>
    </row>
    <row r="30" spans="2:9" ht="25.5" customHeight="1" thickBot="1" x14ac:dyDescent="0.35">
      <c r="B30" s="642"/>
      <c r="C30" s="256" t="s">
        <v>88</v>
      </c>
      <c r="D30" s="256"/>
      <c r="E30" s="256"/>
      <c r="G30" s="9"/>
      <c r="H30" s="9"/>
    </row>
    <row r="31" spans="2:9" ht="15.6" x14ac:dyDescent="0.3">
      <c r="E31" s="21"/>
      <c r="G31" s="9"/>
      <c r="H31" s="9"/>
      <c r="I31" s="9"/>
    </row>
    <row r="32" spans="2:9" ht="15.6" x14ac:dyDescent="0.3">
      <c r="E32" s="21"/>
      <c r="G32" s="9"/>
      <c r="H32" s="9"/>
      <c r="I32" s="9"/>
    </row>
    <row r="33" spans="2:10" ht="25.8" x14ac:dyDescent="0.3">
      <c r="B33" s="140" t="s">
        <v>170</v>
      </c>
      <c r="E33" s="21"/>
      <c r="G33" s="9"/>
      <c r="H33" s="9"/>
      <c r="I33" s="9"/>
    </row>
    <row r="34" spans="2:10" ht="15" thickBot="1" x14ac:dyDescent="0.35">
      <c r="G34" s="9"/>
      <c r="H34" s="9"/>
      <c r="I34" s="9"/>
    </row>
    <row r="35" spans="2:10" ht="34.5" customHeight="1" thickBot="1" x14ac:dyDescent="0.35">
      <c r="B35" s="265" t="s">
        <v>161</v>
      </c>
      <c r="C35" s="264" t="s">
        <v>220</v>
      </c>
      <c r="D35" s="263" t="s">
        <v>221</v>
      </c>
      <c r="G35" s="9"/>
      <c r="H35" s="9"/>
    </row>
    <row r="36" spans="2:10" ht="23.25" customHeight="1" x14ac:dyDescent="0.35">
      <c r="B36" s="266" t="s">
        <v>89</v>
      </c>
      <c r="C36" s="149"/>
      <c r="D36" s="148"/>
      <c r="G36" s="9"/>
      <c r="H36" s="9"/>
    </row>
    <row r="37" spans="2:10" ht="22.5" customHeight="1" x14ac:dyDescent="0.35">
      <c r="B37" s="267" t="s">
        <v>90</v>
      </c>
      <c r="C37" s="269"/>
      <c r="D37" s="150"/>
      <c r="G37" s="9"/>
      <c r="H37" s="9"/>
    </row>
    <row r="38" spans="2:10" ht="22.5" customHeight="1" thickBot="1" x14ac:dyDescent="0.4">
      <c r="B38" s="268" t="s">
        <v>91</v>
      </c>
      <c r="C38" s="152"/>
      <c r="D38" s="152"/>
      <c r="G38" s="9"/>
      <c r="H38" s="9"/>
    </row>
    <row r="39" spans="2:10" x14ac:dyDescent="0.3">
      <c r="G39" s="9"/>
      <c r="H39" s="9"/>
      <c r="I39" s="9"/>
    </row>
    <row r="40" spans="2:10" s="20" customFormat="1" ht="23.4" x14ac:dyDescent="0.3">
      <c r="B40" s="69"/>
      <c r="G40" s="13"/>
      <c r="H40" s="13"/>
      <c r="I40" s="13"/>
    </row>
    <row r="41" spans="2:10" s="20" customFormat="1" ht="23.4" x14ac:dyDescent="0.3">
      <c r="B41" s="69"/>
      <c r="G41" s="13"/>
      <c r="H41" s="13"/>
      <c r="I41" s="13"/>
    </row>
    <row r="42" spans="2:10" s="20" customFormat="1" ht="25.8" x14ac:dyDescent="0.3">
      <c r="B42" s="243" t="s">
        <v>171</v>
      </c>
      <c r="G42" s="13"/>
      <c r="H42" s="13"/>
      <c r="I42" s="13"/>
    </row>
    <row r="43" spans="2:10" s="20" customFormat="1" ht="15" thickBot="1" x14ac:dyDescent="0.35">
      <c r="G43" s="13"/>
      <c r="H43" s="13"/>
      <c r="I43" s="13"/>
    </row>
    <row r="44" spans="2:10" ht="23.25" customHeight="1" thickBot="1" x14ac:dyDescent="0.35">
      <c r="B44" s="650" t="s">
        <v>150</v>
      </c>
      <c r="C44" s="634" t="s">
        <v>220</v>
      </c>
      <c r="D44" s="649" t="s">
        <v>136</v>
      </c>
      <c r="E44" s="648" t="s">
        <v>221</v>
      </c>
      <c r="F44" s="649"/>
      <c r="G44" s="639" t="s">
        <v>198</v>
      </c>
      <c r="I44" s="9"/>
      <c r="J44" s="9"/>
    </row>
    <row r="45" spans="2:10" ht="23.25" customHeight="1" thickBot="1" x14ac:dyDescent="0.35">
      <c r="B45" s="652"/>
      <c r="C45" s="274" t="s">
        <v>24</v>
      </c>
      <c r="D45" s="272" t="s">
        <v>63</v>
      </c>
      <c r="E45" s="277" t="s">
        <v>24</v>
      </c>
      <c r="F45" s="272" t="s">
        <v>63</v>
      </c>
      <c r="G45" s="640"/>
      <c r="I45" s="9"/>
      <c r="J45" s="9"/>
    </row>
    <row r="46" spans="2:10" ht="18" x14ac:dyDescent="0.3">
      <c r="B46" s="643" t="s">
        <v>81</v>
      </c>
      <c r="C46" s="275"/>
      <c r="D46" s="270"/>
      <c r="E46" s="278"/>
      <c r="F46" s="270"/>
      <c r="G46" s="279"/>
    </row>
    <row r="47" spans="2:10" ht="18" x14ac:dyDescent="0.35">
      <c r="B47" s="643"/>
      <c r="C47" s="275"/>
      <c r="D47" s="193"/>
      <c r="E47" s="145"/>
      <c r="F47" s="193"/>
      <c r="G47" s="280"/>
    </row>
    <row r="48" spans="2:10" ht="18" x14ac:dyDescent="0.35">
      <c r="B48" s="643"/>
      <c r="C48" s="275"/>
      <c r="D48" s="193"/>
      <c r="E48" s="145"/>
      <c r="F48" s="193"/>
      <c r="G48" s="280"/>
    </row>
    <row r="49" spans="2:10" ht="18" x14ac:dyDescent="0.35">
      <c r="B49" s="643"/>
      <c r="C49" s="275"/>
      <c r="D49" s="193"/>
      <c r="E49" s="145"/>
      <c r="F49" s="193"/>
      <c r="G49" s="280"/>
      <c r="J49" s="9"/>
    </row>
    <row r="50" spans="2:10" ht="18" x14ac:dyDescent="0.35">
      <c r="B50" s="643"/>
      <c r="C50" s="275"/>
      <c r="D50" s="193"/>
      <c r="E50" s="145"/>
      <c r="F50" s="193"/>
      <c r="G50" s="280"/>
      <c r="J50" s="9"/>
    </row>
    <row r="51" spans="2:10" ht="18.600000000000001" thickBot="1" x14ac:dyDescent="0.4">
      <c r="B51" s="644"/>
      <c r="C51" s="276"/>
      <c r="D51" s="271"/>
      <c r="E51" s="146"/>
      <c r="F51" s="271"/>
      <c r="G51" s="194"/>
      <c r="J51" s="9"/>
    </row>
    <row r="52" spans="2:10" ht="15.6" x14ac:dyDescent="0.3">
      <c r="B52" s="70"/>
      <c r="C52" s="22"/>
      <c r="D52" s="22"/>
      <c r="E52" s="22"/>
    </row>
    <row r="54" spans="2:10" ht="25.8" x14ac:dyDescent="0.3">
      <c r="B54" s="140" t="s">
        <v>172</v>
      </c>
    </row>
    <row r="55" spans="2:10" ht="15" thickBot="1" x14ac:dyDescent="0.35"/>
    <row r="56" spans="2:10" ht="30.75" customHeight="1" thickBot="1" x14ac:dyDescent="0.35">
      <c r="B56" s="650" t="s">
        <v>151</v>
      </c>
      <c r="C56" s="634" t="s">
        <v>220</v>
      </c>
      <c r="D56" s="649" t="s">
        <v>136</v>
      </c>
      <c r="E56" s="648" t="s">
        <v>221</v>
      </c>
      <c r="F56" s="636"/>
    </row>
    <row r="57" spans="2:10" ht="30.75" customHeight="1" thickBot="1" x14ac:dyDescent="0.35">
      <c r="B57" s="651"/>
      <c r="C57" s="285" t="s">
        <v>24</v>
      </c>
      <c r="D57" s="281" t="s">
        <v>63</v>
      </c>
      <c r="E57" s="285" t="s">
        <v>24</v>
      </c>
      <c r="F57" s="282" t="s">
        <v>63</v>
      </c>
    </row>
    <row r="58" spans="2:10" ht="18" x14ac:dyDescent="0.35">
      <c r="B58" s="645" t="s">
        <v>199</v>
      </c>
      <c r="C58" s="286"/>
      <c r="D58" s="283"/>
      <c r="E58" s="286"/>
      <c r="F58" s="192"/>
    </row>
    <row r="59" spans="2:10" ht="18" x14ac:dyDescent="0.35">
      <c r="B59" s="646"/>
      <c r="C59" s="286"/>
      <c r="D59" s="283"/>
      <c r="E59" s="286"/>
      <c r="F59" s="192"/>
    </row>
    <row r="60" spans="2:10" ht="18" x14ac:dyDescent="0.35">
      <c r="B60" s="646"/>
      <c r="C60" s="286"/>
      <c r="D60" s="283"/>
      <c r="E60" s="286"/>
      <c r="F60" s="192"/>
    </row>
    <row r="61" spans="2:10" ht="18" x14ac:dyDescent="0.35">
      <c r="B61" s="646"/>
      <c r="C61" s="286"/>
      <c r="D61" s="283"/>
      <c r="E61" s="286"/>
      <c r="F61" s="192"/>
    </row>
    <row r="62" spans="2:10" ht="18" x14ac:dyDescent="0.35">
      <c r="B62" s="646"/>
      <c r="C62" s="286"/>
      <c r="D62" s="283"/>
      <c r="E62" s="286"/>
      <c r="F62" s="192"/>
    </row>
    <row r="63" spans="2:10" ht="18.600000000000001" thickBot="1" x14ac:dyDescent="0.4">
      <c r="B63" s="647"/>
      <c r="C63" s="287"/>
      <c r="D63" s="284"/>
      <c r="E63" s="287"/>
      <c r="F63" s="288"/>
    </row>
    <row r="66" spans="2:9" ht="25.8" x14ac:dyDescent="0.5">
      <c r="B66" s="154" t="s">
        <v>173</v>
      </c>
    </row>
    <row r="67" spans="2:9" ht="15" thickBot="1" x14ac:dyDescent="0.35"/>
    <row r="68" spans="2:9" ht="33.75" customHeight="1" thickBot="1" x14ac:dyDescent="0.35">
      <c r="B68" s="637" t="s">
        <v>94</v>
      </c>
      <c r="C68" s="653" t="s">
        <v>95</v>
      </c>
      <c r="D68" s="634" t="s">
        <v>220</v>
      </c>
      <c r="E68" s="635"/>
      <c r="F68" s="635"/>
      <c r="G68" s="634" t="s">
        <v>221</v>
      </c>
      <c r="H68" s="635"/>
      <c r="I68" s="636"/>
    </row>
    <row r="69" spans="2:9" ht="33.75" customHeight="1" thickBot="1" x14ac:dyDescent="0.35">
      <c r="B69" s="638"/>
      <c r="C69" s="654"/>
      <c r="D69" s="274" t="s">
        <v>24</v>
      </c>
      <c r="E69" s="294" t="s">
        <v>63</v>
      </c>
      <c r="F69" s="301" t="s">
        <v>22</v>
      </c>
      <c r="G69" s="274" t="s">
        <v>24</v>
      </c>
      <c r="H69" s="294" t="s">
        <v>63</v>
      </c>
      <c r="I69" s="273" t="s">
        <v>22</v>
      </c>
    </row>
    <row r="70" spans="2:9" ht="36" x14ac:dyDescent="0.35">
      <c r="B70" s="291" t="s">
        <v>96</v>
      </c>
      <c r="C70" s="298" t="s">
        <v>97</v>
      </c>
      <c r="D70" s="296"/>
      <c r="E70" s="295"/>
      <c r="F70" s="197"/>
      <c r="G70" s="296"/>
      <c r="H70" s="295"/>
      <c r="I70" s="197"/>
    </row>
    <row r="71" spans="2:9" ht="36" x14ac:dyDescent="0.35">
      <c r="B71" s="293" t="s">
        <v>98</v>
      </c>
      <c r="C71" s="299" t="s">
        <v>99</v>
      </c>
      <c r="D71" s="200"/>
      <c r="E71" s="151"/>
      <c r="F71" s="196"/>
      <c r="G71" s="200"/>
      <c r="H71" s="151"/>
      <c r="I71" s="196"/>
    </row>
    <row r="72" spans="2:9" ht="54" x14ac:dyDescent="0.35">
      <c r="B72" s="293" t="s">
        <v>100</v>
      </c>
      <c r="C72" s="299" t="s">
        <v>101</v>
      </c>
      <c r="D72" s="200"/>
      <c r="E72" s="151"/>
      <c r="F72" s="196"/>
      <c r="G72" s="200"/>
      <c r="H72" s="151"/>
      <c r="I72" s="196"/>
    </row>
    <row r="73" spans="2:9" ht="72.599999999999994" thickBot="1" x14ac:dyDescent="0.4">
      <c r="B73" s="289" t="s">
        <v>102</v>
      </c>
      <c r="C73" s="300" t="s">
        <v>103</v>
      </c>
      <c r="D73" s="297"/>
      <c r="E73" s="220"/>
      <c r="F73" s="190"/>
      <c r="G73" s="297"/>
      <c r="H73" s="220"/>
      <c r="I73" s="190"/>
    </row>
    <row r="78" spans="2:9" x14ac:dyDescent="0.3">
      <c r="F78" s="99"/>
    </row>
  </sheetData>
  <mergeCells count="16">
    <mergeCell ref="C2:I7"/>
    <mergeCell ref="J2:J7"/>
    <mergeCell ref="G68:I68"/>
    <mergeCell ref="B68:B69"/>
    <mergeCell ref="G44:G45"/>
    <mergeCell ref="B29:B30"/>
    <mergeCell ref="B46:B51"/>
    <mergeCell ref="B58:B63"/>
    <mergeCell ref="E56:F56"/>
    <mergeCell ref="C56:D56"/>
    <mergeCell ref="B56:B57"/>
    <mergeCell ref="B44:B45"/>
    <mergeCell ref="E44:F44"/>
    <mergeCell ref="C44:D44"/>
    <mergeCell ref="C68:C69"/>
    <mergeCell ref="D68:F6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AO42"/>
  <sheetViews>
    <sheetView showGridLines="0" topLeftCell="A25" workbookViewId="0">
      <pane xSplit="2" topLeftCell="C1" activePane="topRight" state="frozen"/>
      <selection pane="topRight" activeCell="B33" sqref="B33"/>
    </sheetView>
  </sheetViews>
  <sheetFormatPr baseColWidth="10" defaultRowHeight="14.4" x14ac:dyDescent="0.3"/>
  <cols>
    <col min="2" max="2" width="32.109375" customWidth="1"/>
    <col min="3" max="3" width="16.6640625" customWidth="1"/>
    <col min="4" max="4" width="18.33203125" bestFit="1" customWidth="1"/>
    <col min="5" max="6" width="16.6640625" customWidth="1"/>
    <col min="7" max="7" width="19.6640625" bestFit="1" customWidth="1"/>
    <col min="8" max="8" width="18.33203125" customWidth="1"/>
    <col min="12" max="12" width="23.88671875" bestFit="1" customWidth="1"/>
  </cols>
  <sheetData>
    <row r="2" spans="2:10" x14ac:dyDescent="0.3">
      <c r="B2" s="78"/>
      <c r="C2" s="655" t="s">
        <v>226</v>
      </c>
      <c r="D2" s="580"/>
      <c r="E2" s="580"/>
      <c r="F2" s="580"/>
      <c r="G2" s="580"/>
      <c r="H2" s="580"/>
      <c r="I2" s="580"/>
      <c r="J2" s="631" t="s">
        <v>186</v>
      </c>
    </row>
    <row r="3" spans="2:10" x14ac:dyDescent="0.3">
      <c r="B3" s="79"/>
      <c r="C3" s="583"/>
      <c r="D3" s="583"/>
      <c r="E3" s="583"/>
      <c r="F3" s="583"/>
      <c r="G3" s="583"/>
      <c r="H3" s="583"/>
      <c r="I3" s="583"/>
      <c r="J3" s="632"/>
    </row>
    <row r="4" spans="2:10" x14ac:dyDescent="0.3">
      <c r="B4" s="79"/>
      <c r="C4" s="583"/>
      <c r="D4" s="583"/>
      <c r="E4" s="583"/>
      <c r="F4" s="583"/>
      <c r="G4" s="583"/>
      <c r="H4" s="583"/>
      <c r="I4" s="583"/>
      <c r="J4" s="632"/>
    </row>
    <row r="5" spans="2:10" x14ac:dyDescent="0.3">
      <c r="B5" s="79"/>
      <c r="C5" s="583"/>
      <c r="D5" s="583"/>
      <c r="E5" s="583"/>
      <c r="F5" s="583"/>
      <c r="G5" s="583"/>
      <c r="H5" s="583"/>
      <c r="I5" s="583"/>
      <c r="J5" s="632"/>
    </row>
    <row r="6" spans="2:10" ht="11.25" customHeight="1" x14ac:dyDescent="0.3">
      <c r="B6" s="80"/>
      <c r="C6" s="586"/>
      <c r="D6" s="586"/>
      <c r="E6" s="586"/>
      <c r="F6" s="586"/>
      <c r="G6" s="586"/>
      <c r="H6" s="586"/>
      <c r="I6" s="586"/>
      <c r="J6" s="633"/>
    </row>
    <row r="15" spans="2:10" ht="25.8" x14ac:dyDescent="0.3">
      <c r="B15" s="302" t="s">
        <v>174</v>
      </c>
    </row>
    <row r="17" spans="2:41" ht="15" thickBot="1" x14ac:dyDescent="0.35"/>
    <row r="18" spans="2:41" ht="18.600000000000001" thickBot="1" x14ac:dyDescent="0.35">
      <c r="B18" s="590" t="s">
        <v>62</v>
      </c>
      <c r="C18" s="658" t="s">
        <v>220</v>
      </c>
      <c r="D18" s="656"/>
      <c r="E18" s="657"/>
      <c r="F18" s="656" t="s">
        <v>221</v>
      </c>
      <c r="G18" s="656"/>
      <c r="H18" s="657"/>
    </row>
    <row r="19" spans="2:41" ht="18.600000000000001" thickBot="1" x14ac:dyDescent="0.35">
      <c r="B19" s="626"/>
      <c r="C19" s="307" t="s">
        <v>24</v>
      </c>
      <c r="D19" s="308" t="s">
        <v>63</v>
      </c>
      <c r="E19" s="309" t="s">
        <v>64</v>
      </c>
      <c r="F19" s="308" t="s">
        <v>24</v>
      </c>
      <c r="G19" s="308" t="s">
        <v>63</v>
      </c>
      <c r="H19" s="309" t="s">
        <v>64</v>
      </c>
    </row>
    <row r="20" spans="2:41" ht="18" x14ac:dyDescent="0.35">
      <c r="B20" s="304" t="s">
        <v>65</v>
      </c>
      <c r="C20" s="141"/>
      <c r="D20" s="141"/>
      <c r="E20" s="192" t="e">
        <f>+D20/C20</f>
        <v>#DIV/0!</v>
      </c>
      <c r="F20" s="141"/>
      <c r="G20" s="141"/>
      <c r="H20" s="310" t="e">
        <f>G20/F20</f>
        <v>#DIV/0!</v>
      </c>
    </row>
    <row r="21" spans="2:41" ht="18" x14ac:dyDescent="0.35">
      <c r="B21" s="304" t="s">
        <v>66</v>
      </c>
      <c r="C21" s="141"/>
      <c r="D21" s="141"/>
      <c r="E21" s="192" t="e">
        <f t="shared" ref="E21:E30" si="0">+D21/C21</f>
        <v>#DIV/0!</v>
      </c>
      <c r="F21" s="141"/>
      <c r="G21" s="141"/>
      <c r="H21" s="192" t="e">
        <f t="shared" ref="H21:H30" si="1">G21/F21</f>
        <v>#DIV/0!</v>
      </c>
    </row>
    <row r="22" spans="2:41" ht="18" x14ac:dyDescent="0.35">
      <c r="B22" s="304" t="s">
        <v>67</v>
      </c>
      <c r="C22" s="141"/>
      <c r="D22" s="141"/>
      <c r="E22" s="192" t="e">
        <f t="shared" si="0"/>
        <v>#DIV/0!</v>
      </c>
      <c r="F22" s="141"/>
      <c r="G22" s="141"/>
      <c r="H22" s="192" t="e">
        <f t="shared" si="1"/>
        <v>#DIV/0!</v>
      </c>
    </row>
    <row r="23" spans="2:41" ht="18" x14ac:dyDescent="0.35">
      <c r="B23" s="304" t="s">
        <v>68</v>
      </c>
      <c r="C23" s="141"/>
      <c r="D23" s="141"/>
      <c r="E23" s="192" t="e">
        <f t="shared" si="0"/>
        <v>#DIV/0!</v>
      </c>
      <c r="F23" s="141"/>
      <c r="G23" s="141"/>
      <c r="H23" s="192" t="e">
        <f t="shared" si="1"/>
        <v>#DIV/0!</v>
      </c>
    </row>
    <row r="24" spans="2:41" ht="18" x14ac:dyDescent="0.35">
      <c r="B24" s="304" t="s">
        <v>69</v>
      </c>
      <c r="C24" s="141"/>
      <c r="D24" s="141"/>
      <c r="E24" s="192" t="e">
        <f t="shared" si="0"/>
        <v>#DIV/0!</v>
      </c>
      <c r="F24" s="141"/>
      <c r="G24" s="141"/>
      <c r="H24" s="192" t="e">
        <f t="shared" si="1"/>
        <v>#DIV/0!</v>
      </c>
      <c r="K24" s="306"/>
    </row>
    <row r="25" spans="2:41" ht="18" x14ac:dyDescent="0.35">
      <c r="B25" s="304" t="s">
        <v>70</v>
      </c>
      <c r="C25" s="141"/>
      <c r="D25" s="141"/>
      <c r="E25" s="192" t="e">
        <f t="shared" si="0"/>
        <v>#DIV/0!</v>
      </c>
      <c r="F25" s="141"/>
      <c r="G25" s="141"/>
      <c r="H25" s="192" t="e">
        <f t="shared" si="1"/>
        <v>#DIV/0!</v>
      </c>
    </row>
    <row r="26" spans="2:41" ht="18" x14ac:dyDescent="0.35">
      <c r="B26" s="304" t="s">
        <v>71</v>
      </c>
      <c r="C26" s="141"/>
      <c r="D26" s="141"/>
      <c r="E26" s="192" t="e">
        <f t="shared" si="0"/>
        <v>#DIV/0!</v>
      </c>
      <c r="F26" s="141"/>
      <c r="G26" s="141"/>
      <c r="H26" s="192" t="e">
        <f t="shared" si="1"/>
        <v>#DIV/0!</v>
      </c>
    </row>
    <row r="27" spans="2:41" ht="18" x14ac:dyDescent="0.35">
      <c r="B27" s="304" t="s">
        <v>72</v>
      </c>
      <c r="C27" s="141"/>
      <c r="D27" s="141"/>
      <c r="E27" s="192" t="e">
        <f t="shared" si="0"/>
        <v>#DIV/0!</v>
      </c>
      <c r="F27" s="141"/>
      <c r="G27" s="141"/>
      <c r="H27" s="192" t="e">
        <f t="shared" si="1"/>
        <v>#DIV/0!</v>
      </c>
    </row>
    <row r="28" spans="2:41" ht="18" x14ac:dyDescent="0.35">
      <c r="B28" s="304" t="s">
        <v>93</v>
      </c>
      <c r="C28" s="141"/>
      <c r="D28" s="141"/>
      <c r="E28" s="192" t="e">
        <f t="shared" si="0"/>
        <v>#DIV/0!</v>
      </c>
      <c r="F28" s="141"/>
      <c r="G28" s="141"/>
      <c r="H28" s="192" t="e">
        <f>G28/F28</f>
        <v>#DIV/0!</v>
      </c>
    </row>
    <row r="29" spans="2:41" ht="18" x14ac:dyDescent="0.35">
      <c r="B29" s="304" t="s">
        <v>200</v>
      </c>
      <c r="C29" s="141"/>
      <c r="D29" s="141"/>
      <c r="E29" s="192" t="e">
        <f t="shared" si="0"/>
        <v>#DIV/0!</v>
      </c>
      <c r="F29" s="141"/>
      <c r="G29" s="141"/>
      <c r="H29" s="192" t="e">
        <f>G29/F29</f>
        <v>#DIV/0!</v>
      </c>
    </row>
    <row r="30" spans="2:41" ht="18.600000000000001" thickBot="1" x14ac:dyDescent="0.4">
      <c r="B30" s="305" t="s">
        <v>73</v>
      </c>
      <c r="C30" s="142"/>
      <c r="D30" s="142"/>
      <c r="E30" s="262" t="e">
        <f t="shared" si="0"/>
        <v>#DIV/0!</v>
      </c>
      <c r="F30" s="142"/>
      <c r="G30" s="142"/>
      <c r="H30" s="262" t="e">
        <f t="shared" si="1"/>
        <v>#DIV/0!</v>
      </c>
    </row>
    <row r="31" spans="2:41" ht="15.6" x14ac:dyDescent="0.3">
      <c r="B31" s="1"/>
      <c r="C31" s="22"/>
      <c r="D31" s="22"/>
      <c r="E31" s="22"/>
      <c r="F31" s="9"/>
      <c r="G31" s="27"/>
      <c r="H31" s="9"/>
      <c r="I31" s="9"/>
      <c r="J31" s="28"/>
      <c r="K31" s="9"/>
      <c r="L31" s="9"/>
      <c r="M31" s="29"/>
      <c r="N31" s="9"/>
      <c r="O31" s="9"/>
      <c r="P31" s="26"/>
      <c r="Q31" s="9"/>
      <c r="R31" s="9"/>
      <c r="S31" s="30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2:41" ht="15.6" x14ac:dyDescent="0.3">
      <c r="B32" s="22"/>
      <c r="C32" s="22"/>
      <c r="D32" s="22"/>
      <c r="E32" s="22"/>
      <c r="F32" s="9"/>
      <c r="G32" s="27"/>
      <c r="H32" s="9"/>
      <c r="I32" s="9"/>
      <c r="J32" s="28"/>
      <c r="K32" s="9"/>
      <c r="L32" s="9"/>
      <c r="M32" s="29"/>
      <c r="N32" s="9"/>
      <c r="O32" s="9"/>
      <c r="P32" s="26"/>
      <c r="Q32" s="9"/>
      <c r="R32" s="9"/>
      <c r="S32" s="30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2:41" ht="25.8" x14ac:dyDescent="0.3">
      <c r="B33" s="140" t="s">
        <v>175</v>
      </c>
      <c r="C33" s="22"/>
      <c r="D33" s="22"/>
      <c r="E33" s="22"/>
      <c r="F33" s="9"/>
      <c r="G33" s="27"/>
      <c r="H33" s="9"/>
      <c r="I33" s="9"/>
      <c r="J33" s="28"/>
      <c r="K33" s="9"/>
      <c r="L33" s="9"/>
      <c r="M33" s="29"/>
      <c r="N33" s="9"/>
      <c r="O33" s="9"/>
      <c r="P33" s="26"/>
      <c r="Q33" s="9"/>
      <c r="R33" s="9"/>
      <c r="S33" s="30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2:41" ht="15" thickBot="1" x14ac:dyDescent="0.35"/>
    <row r="35" spans="2:41" ht="18.600000000000001" thickBot="1" x14ac:dyDescent="0.35">
      <c r="B35" s="637" t="s">
        <v>162</v>
      </c>
      <c r="C35" s="659" t="s">
        <v>220</v>
      </c>
      <c r="D35" s="659"/>
      <c r="E35" s="659"/>
      <c r="F35" s="590" t="s">
        <v>221</v>
      </c>
      <c r="G35" s="659"/>
      <c r="H35" s="592"/>
      <c r="I35" s="660" t="s">
        <v>122</v>
      </c>
    </row>
    <row r="36" spans="2:41" ht="18.600000000000001" thickBot="1" x14ac:dyDescent="0.4">
      <c r="B36" s="591"/>
      <c r="C36" s="325" t="s">
        <v>74</v>
      </c>
      <c r="D36" s="326" t="s">
        <v>20</v>
      </c>
      <c r="E36" s="327" t="s">
        <v>63</v>
      </c>
      <c r="F36" s="328" t="s">
        <v>74</v>
      </c>
      <c r="G36" s="326" t="s">
        <v>201</v>
      </c>
      <c r="H36" s="329" t="s">
        <v>202</v>
      </c>
      <c r="I36" s="661"/>
    </row>
    <row r="37" spans="2:41" ht="18" x14ac:dyDescent="0.35">
      <c r="B37" s="645" t="s">
        <v>125</v>
      </c>
      <c r="C37" s="330" t="s">
        <v>75</v>
      </c>
      <c r="D37" s="316"/>
      <c r="E37" s="314"/>
      <c r="F37" s="320" t="s">
        <v>75</v>
      </c>
      <c r="G37" s="316"/>
      <c r="H37" s="191"/>
      <c r="I37" s="192"/>
    </row>
    <row r="38" spans="2:41" ht="18" x14ac:dyDescent="0.35">
      <c r="B38" s="646"/>
      <c r="C38" s="296" t="s">
        <v>76</v>
      </c>
      <c r="D38" s="317"/>
      <c r="E38" s="315"/>
      <c r="F38" s="321" t="s">
        <v>76</v>
      </c>
      <c r="G38" s="318"/>
      <c r="H38" s="192"/>
      <c r="I38" s="311"/>
    </row>
    <row r="39" spans="2:41" ht="18" x14ac:dyDescent="0.35">
      <c r="B39" s="646"/>
      <c r="C39" s="331" t="s">
        <v>77</v>
      </c>
      <c r="D39" s="318"/>
      <c r="E39" s="203"/>
      <c r="F39" s="322" t="s">
        <v>77</v>
      </c>
      <c r="G39" s="324"/>
      <c r="H39" s="203"/>
      <c r="I39" s="312"/>
    </row>
    <row r="40" spans="2:41" ht="18" x14ac:dyDescent="0.35">
      <c r="B40" s="646"/>
      <c r="C40" s="200" t="s">
        <v>78</v>
      </c>
      <c r="D40" s="317"/>
      <c r="E40" s="315"/>
      <c r="F40" s="321" t="s">
        <v>78</v>
      </c>
      <c r="G40" s="317"/>
      <c r="H40" s="203"/>
      <c r="I40" s="192"/>
    </row>
    <row r="41" spans="2:41" ht="18" x14ac:dyDescent="0.35">
      <c r="B41" s="646"/>
      <c r="C41" s="296" t="s">
        <v>79</v>
      </c>
      <c r="D41" s="318"/>
      <c r="E41" s="141"/>
      <c r="F41" s="322" t="s">
        <v>79</v>
      </c>
      <c r="G41" s="318"/>
      <c r="H41" s="203"/>
      <c r="I41" s="311"/>
    </row>
    <row r="42" spans="2:41" ht="18.600000000000001" thickBot="1" x14ac:dyDescent="0.4">
      <c r="B42" s="647"/>
      <c r="C42" s="332" t="s">
        <v>80</v>
      </c>
      <c r="D42" s="319"/>
      <c r="E42" s="198"/>
      <c r="F42" s="323" t="s">
        <v>80</v>
      </c>
      <c r="G42" s="319"/>
      <c r="H42" s="198"/>
      <c r="I42" s="313"/>
    </row>
  </sheetData>
  <mergeCells count="10">
    <mergeCell ref="C2:I6"/>
    <mergeCell ref="J2:J6"/>
    <mergeCell ref="B18:B19"/>
    <mergeCell ref="F18:H18"/>
    <mergeCell ref="B37:B42"/>
    <mergeCell ref="C18:E18"/>
    <mergeCell ref="C35:E35"/>
    <mergeCell ref="F35:H35"/>
    <mergeCell ref="B35:B36"/>
    <mergeCell ref="I35:I36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2:M21"/>
  <sheetViews>
    <sheetView showGridLines="0" workbookViewId="0">
      <selection sqref="A1:XFD11"/>
    </sheetView>
  </sheetViews>
  <sheetFormatPr baseColWidth="10" defaultRowHeight="14.4" x14ac:dyDescent="0.3"/>
  <cols>
    <col min="2" max="2" width="30.88671875" customWidth="1"/>
    <col min="3" max="4" width="19.109375" bestFit="1" customWidth="1"/>
    <col min="5" max="5" width="22.88671875" bestFit="1" customWidth="1"/>
  </cols>
  <sheetData>
    <row r="2" spans="2:13" ht="15" customHeight="1" x14ac:dyDescent="0.3">
      <c r="B2" s="78"/>
      <c r="C2" s="545" t="s">
        <v>227</v>
      </c>
      <c r="D2" s="546"/>
      <c r="E2" s="546"/>
      <c r="F2" s="546"/>
      <c r="G2" s="546"/>
      <c r="H2" s="546"/>
      <c r="I2" s="546"/>
      <c r="J2" s="546"/>
      <c r="K2" s="546"/>
      <c r="L2" s="546"/>
      <c r="M2" s="631" t="s">
        <v>186</v>
      </c>
    </row>
    <row r="3" spans="2:13" ht="21" customHeight="1" x14ac:dyDescent="0.3">
      <c r="B3" s="79"/>
      <c r="C3" s="548"/>
      <c r="D3" s="549"/>
      <c r="E3" s="549"/>
      <c r="F3" s="549"/>
      <c r="G3" s="549"/>
      <c r="H3" s="549"/>
      <c r="I3" s="549"/>
      <c r="J3" s="549"/>
      <c r="K3" s="549"/>
      <c r="L3" s="549"/>
      <c r="M3" s="632"/>
    </row>
    <row r="4" spans="2:13" ht="26.25" customHeight="1" x14ac:dyDescent="0.3">
      <c r="B4" s="79"/>
      <c r="C4" s="548"/>
      <c r="D4" s="549"/>
      <c r="E4" s="549"/>
      <c r="F4" s="549"/>
      <c r="G4" s="549"/>
      <c r="H4" s="549"/>
      <c r="I4" s="549"/>
      <c r="J4" s="549"/>
      <c r="K4" s="549"/>
      <c r="L4" s="549"/>
      <c r="M4" s="632"/>
    </row>
    <row r="5" spans="2:13" ht="15" customHeight="1" x14ac:dyDescent="0.3">
      <c r="B5" s="80"/>
      <c r="C5" s="551"/>
      <c r="D5" s="552"/>
      <c r="E5" s="552"/>
      <c r="F5" s="552"/>
      <c r="G5" s="552"/>
      <c r="H5" s="552"/>
      <c r="I5" s="552"/>
      <c r="J5" s="552"/>
      <c r="K5" s="552"/>
      <c r="L5" s="552"/>
      <c r="M5" s="633"/>
    </row>
    <row r="6" spans="2:13" ht="15" customHeight="1" x14ac:dyDescent="0.3">
      <c r="M6" s="524"/>
    </row>
    <row r="15" spans="2:13" ht="25.8" x14ac:dyDescent="0.5">
      <c r="B15" s="213" t="s">
        <v>207</v>
      </c>
    </row>
    <row r="16" spans="2:13" ht="15" thickBot="1" x14ac:dyDescent="0.35"/>
    <row r="17" spans="1:5" ht="18.600000000000001" thickBot="1" x14ac:dyDescent="0.35">
      <c r="B17" s="462" t="s">
        <v>234</v>
      </c>
      <c r="C17" s="249" t="s">
        <v>220</v>
      </c>
      <c r="D17" s="461" t="s">
        <v>221</v>
      </c>
      <c r="E17" s="448" t="s">
        <v>1</v>
      </c>
    </row>
    <row r="18" spans="1:5" ht="18" x14ac:dyDescent="0.35">
      <c r="B18" s="460" t="s">
        <v>24</v>
      </c>
      <c r="C18" s="489"/>
      <c r="D18" s="490"/>
      <c r="E18" s="491"/>
    </row>
    <row r="19" spans="1:5" ht="18" x14ac:dyDescent="0.35">
      <c r="A19" s="9"/>
      <c r="B19" s="312" t="s">
        <v>208</v>
      </c>
      <c r="C19" s="492"/>
      <c r="D19" s="493"/>
      <c r="E19" s="495"/>
    </row>
    <row r="20" spans="1:5" ht="18.600000000000001" thickBot="1" x14ac:dyDescent="0.4">
      <c r="A20" s="9"/>
      <c r="B20" s="313" t="s">
        <v>209</v>
      </c>
      <c r="C20" s="487" t="e">
        <f>C19/C18</f>
        <v>#DIV/0!</v>
      </c>
      <c r="D20" s="488" t="e">
        <f>D19/D18</f>
        <v>#DIV/0!</v>
      </c>
      <c r="E20" s="494" t="e">
        <f>E19/E18</f>
        <v>#DIV/0!</v>
      </c>
    </row>
    <row r="21" spans="1:5" x14ac:dyDescent="0.3">
      <c r="D21" s="101"/>
      <c r="E21" s="9"/>
    </row>
  </sheetData>
  <mergeCells count="2">
    <mergeCell ref="C2:L5"/>
    <mergeCell ref="M2:M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Z79"/>
  <sheetViews>
    <sheetView showGridLines="0" workbookViewId="0">
      <selection activeCell="I2" sqref="I2:J6"/>
    </sheetView>
  </sheetViews>
  <sheetFormatPr baseColWidth="10" defaultRowHeight="14.4" x14ac:dyDescent="0.3"/>
  <cols>
    <col min="2" max="2" width="34.88671875" customWidth="1"/>
    <col min="3" max="3" width="34.6640625" bestFit="1" customWidth="1"/>
    <col min="4" max="4" width="22.5546875" customWidth="1"/>
    <col min="5" max="5" width="25" customWidth="1"/>
    <col min="6" max="6" width="16.88671875" customWidth="1"/>
    <col min="7" max="7" width="12.44140625" customWidth="1"/>
    <col min="8" max="8" width="18.88671875" customWidth="1"/>
    <col min="9" max="9" width="8.6640625" customWidth="1"/>
    <col min="10" max="10" width="23" customWidth="1"/>
  </cols>
  <sheetData>
    <row r="2" spans="2:10" ht="15" customHeight="1" x14ac:dyDescent="0.3">
      <c r="B2" s="84"/>
      <c r="C2" s="668" t="s">
        <v>228</v>
      </c>
      <c r="D2" s="580"/>
      <c r="E2" s="580"/>
      <c r="F2" s="580"/>
      <c r="G2" s="580"/>
      <c r="H2" s="581"/>
      <c r="I2" s="662" t="s">
        <v>186</v>
      </c>
      <c r="J2" s="663"/>
    </row>
    <row r="3" spans="2:10" ht="15" customHeight="1" x14ac:dyDescent="0.3">
      <c r="B3" s="85"/>
      <c r="C3" s="582"/>
      <c r="D3" s="583"/>
      <c r="E3" s="583"/>
      <c r="F3" s="583"/>
      <c r="G3" s="583"/>
      <c r="H3" s="584"/>
      <c r="I3" s="664"/>
      <c r="J3" s="665"/>
    </row>
    <row r="4" spans="2:10" ht="15" customHeight="1" x14ac:dyDescent="0.3">
      <c r="B4" s="85"/>
      <c r="C4" s="582"/>
      <c r="D4" s="583"/>
      <c r="E4" s="583"/>
      <c r="F4" s="583"/>
      <c r="G4" s="583"/>
      <c r="H4" s="584"/>
      <c r="I4" s="664"/>
      <c r="J4" s="665"/>
    </row>
    <row r="5" spans="2:10" ht="15" customHeight="1" x14ac:dyDescent="0.3">
      <c r="B5" s="85"/>
      <c r="C5" s="582"/>
      <c r="D5" s="583"/>
      <c r="E5" s="583"/>
      <c r="F5" s="583"/>
      <c r="G5" s="583"/>
      <c r="H5" s="584"/>
      <c r="I5" s="664"/>
      <c r="J5" s="665"/>
    </row>
    <row r="6" spans="2:10" ht="15" customHeight="1" x14ac:dyDescent="0.3">
      <c r="B6" s="86"/>
      <c r="C6" s="585"/>
      <c r="D6" s="586"/>
      <c r="E6" s="586"/>
      <c r="F6" s="586"/>
      <c r="G6" s="586"/>
      <c r="H6" s="587"/>
      <c r="I6" s="666"/>
      <c r="J6" s="667"/>
    </row>
    <row r="7" spans="2:10" ht="15" customHeight="1" x14ac:dyDescent="0.3">
      <c r="B7" s="9"/>
      <c r="C7" s="81"/>
      <c r="D7" s="81"/>
      <c r="E7" s="81"/>
      <c r="F7" s="81"/>
      <c r="G7" s="81"/>
      <c r="H7" s="81"/>
      <c r="I7" s="83"/>
      <c r="J7" s="83"/>
    </row>
    <row r="8" spans="2:10" ht="15" customHeight="1" x14ac:dyDescent="0.3">
      <c r="B8" s="9"/>
      <c r="C8" s="81"/>
      <c r="D8" s="81"/>
      <c r="E8" s="81"/>
      <c r="F8" s="81"/>
      <c r="G8" s="81"/>
      <c r="H8" s="81"/>
      <c r="I8" s="83"/>
      <c r="J8" s="83"/>
    </row>
    <row r="9" spans="2:10" ht="15" customHeight="1" x14ac:dyDescent="0.3">
      <c r="B9" s="9"/>
      <c r="C9" s="81"/>
      <c r="D9" s="81"/>
      <c r="E9" s="81"/>
      <c r="F9" s="81"/>
      <c r="G9" s="81"/>
      <c r="H9" s="81"/>
      <c r="I9" s="83"/>
      <c r="J9" s="83"/>
    </row>
    <row r="10" spans="2:10" ht="15" customHeight="1" x14ac:dyDescent="0.3">
      <c r="B10" s="9"/>
      <c r="C10" s="81"/>
      <c r="D10" s="81"/>
      <c r="E10" s="81"/>
      <c r="F10" s="81"/>
      <c r="G10" s="81"/>
      <c r="H10" s="81"/>
      <c r="I10" s="83"/>
      <c r="J10" s="83"/>
    </row>
    <row r="11" spans="2:10" ht="15" customHeight="1" x14ac:dyDescent="0.3">
      <c r="B11" s="9"/>
      <c r="C11" s="81"/>
      <c r="D11" s="81"/>
      <c r="E11" s="81"/>
      <c r="F11" s="81"/>
      <c r="G11" s="81"/>
      <c r="H11" s="81"/>
      <c r="I11" s="83"/>
      <c r="J11" s="83"/>
    </row>
    <row r="12" spans="2:10" ht="15" customHeight="1" x14ac:dyDescent="0.3">
      <c r="B12" s="9"/>
      <c r="C12" s="81"/>
      <c r="D12" s="81"/>
      <c r="E12" s="81"/>
      <c r="F12" s="81"/>
      <c r="G12" s="81"/>
      <c r="H12" s="81"/>
      <c r="I12" s="83"/>
      <c r="J12" s="83"/>
    </row>
    <row r="13" spans="2:10" ht="15" customHeight="1" x14ac:dyDescent="0.3">
      <c r="B13" s="9"/>
      <c r="C13" s="81"/>
      <c r="D13" s="81"/>
      <c r="E13" s="81"/>
      <c r="F13" s="81"/>
      <c r="G13" s="81"/>
      <c r="H13" s="81"/>
      <c r="I13" s="83"/>
      <c r="J13" s="83"/>
    </row>
    <row r="15" spans="2:10" ht="25.8" x14ac:dyDescent="0.3">
      <c r="B15" s="98" t="s">
        <v>180</v>
      </c>
    </row>
    <row r="16" spans="2:10" ht="15" thickBot="1" x14ac:dyDescent="0.35"/>
    <row r="17" spans="2:10" ht="18.600000000000001" thickBot="1" x14ac:dyDescent="0.35">
      <c r="B17" s="335" t="s">
        <v>28</v>
      </c>
      <c r="C17" s="155" t="s">
        <v>220</v>
      </c>
      <c r="D17" s="250" t="s">
        <v>221</v>
      </c>
    </row>
    <row r="18" spans="2:10" ht="18" x14ac:dyDescent="0.3">
      <c r="B18" s="341" t="s">
        <v>24</v>
      </c>
      <c r="C18" s="342"/>
      <c r="D18" s="343"/>
    </row>
    <row r="19" spans="2:10" ht="18" x14ac:dyDescent="0.3">
      <c r="B19" s="336" t="s">
        <v>21</v>
      </c>
      <c r="C19" s="345"/>
      <c r="D19" s="344"/>
    </row>
    <row r="20" spans="2:10" ht="18.600000000000001" thickBot="1" x14ac:dyDescent="0.35">
      <c r="B20" s="346" t="s">
        <v>29</v>
      </c>
      <c r="C20" s="347" t="e">
        <f>+C19/C18</f>
        <v>#DIV/0!</v>
      </c>
      <c r="D20" s="339" t="e">
        <f>D19/D18</f>
        <v>#DIV/0!</v>
      </c>
    </row>
    <row r="21" spans="2:10" ht="18.600000000000001" thickBot="1" x14ac:dyDescent="0.35">
      <c r="B21" s="337" t="s">
        <v>126</v>
      </c>
      <c r="C21" s="338" t="e">
        <f>+C19/C31</f>
        <v>#DIV/0!</v>
      </c>
      <c r="D21" s="340" t="e">
        <f>+D19/D31</f>
        <v>#DIV/0!</v>
      </c>
    </row>
    <row r="22" spans="2:10" x14ac:dyDescent="0.3">
      <c r="B22" s="334"/>
      <c r="C22" s="333"/>
      <c r="D22" s="333"/>
      <c r="E22" s="333"/>
    </row>
    <row r="23" spans="2:10" x14ac:dyDescent="0.3">
      <c r="B23" s="72"/>
      <c r="C23" s="73"/>
      <c r="D23" s="73"/>
    </row>
    <row r="24" spans="2:10" ht="25.8" x14ac:dyDescent="0.3">
      <c r="B24" s="98" t="s">
        <v>181</v>
      </c>
    </row>
    <row r="25" spans="2:10" ht="15" thickBot="1" x14ac:dyDescent="0.35"/>
    <row r="26" spans="2:10" ht="18" x14ac:dyDescent="0.3">
      <c r="B26" s="352" t="s">
        <v>203</v>
      </c>
      <c r="C26" s="353" t="s">
        <v>220</v>
      </c>
      <c r="D26" s="354" t="s">
        <v>221</v>
      </c>
      <c r="E26" s="351" t="s">
        <v>145</v>
      </c>
      <c r="G26" s="15" t="s">
        <v>142</v>
      </c>
      <c r="H26" s="14" t="s">
        <v>220</v>
      </c>
      <c r="I26" s="14" t="s">
        <v>221</v>
      </c>
      <c r="J26" s="18" t="s">
        <v>144</v>
      </c>
    </row>
    <row r="27" spans="2:10" ht="18" x14ac:dyDescent="0.35">
      <c r="B27" s="356" t="s">
        <v>4</v>
      </c>
      <c r="C27" s="201"/>
      <c r="D27" s="158"/>
      <c r="E27" s="357"/>
      <c r="G27" s="682" t="s">
        <v>143</v>
      </c>
      <c r="H27" s="693"/>
      <c r="I27" s="693"/>
      <c r="J27" s="694" t="e">
        <f>I27/D31</f>
        <v>#DIV/0!</v>
      </c>
    </row>
    <row r="28" spans="2:10" ht="18" x14ac:dyDescent="0.35">
      <c r="B28" s="358" t="s">
        <v>5</v>
      </c>
      <c r="C28" s="200"/>
      <c r="D28" s="151"/>
      <c r="E28" s="360"/>
      <c r="G28" s="682"/>
      <c r="H28" s="693"/>
      <c r="I28" s="693"/>
      <c r="J28" s="694"/>
    </row>
    <row r="29" spans="2:10" ht="18" x14ac:dyDescent="0.35">
      <c r="B29" s="348" t="s">
        <v>6</v>
      </c>
      <c r="C29" s="296"/>
      <c r="D29" s="295"/>
      <c r="E29" s="197"/>
      <c r="G29" s="682" t="s">
        <v>160</v>
      </c>
      <c r="H29" s="693"/>
      <c r="I29" s="693"/>
      <c r="J29" s="694" t="e">
        <f>I29/D31</f>
        <v>#DIV/0!</v>
      </c>
    </row>
    <row r="30" spans="2:10" ht="18.600000000000001" thickBot="1" x14ac:dyDescent="0.4">
      <c r="B30" s="359" t="s">
        <v>7</v>
      </c>
      <c r="C30" s="332"/>
      <c r="D30" s="189"/>
      <c r="E30" s="361"/>
      <c r="G30" s="682"/>
      <c r="H30" s="693"/>
      <c r="I30" s="693"/>
      <c r="J30" s="694"/>
    </row>
    <row r="31" spans="2:10" ht="18.600000000000001" thickBot="1" x14ac:dyDescent="0.35">
      <c r="B31" s="349" t="s">
        <v>1</v>
      </c>
      <c r="C31" s="153">
        <f>+C30+C29+C28+C27</f>
        <v>0</v>
      </c>
      <c r="D31" s="355">
        <f t="shared" ref="D31" si="0">D27+D28+D29+D30</f>
        <v>0</v>
      </c>
      <c r="E31" s="350">
        <f t="shared" ref="E31" si="1">E27+E28+E29+E30</f>
        <v>0</v>
      </c>
      <c r="G31" s="15" t="s">
        <v>1</v>
      </c>
      <c r="H31" s="16">
        <f>+I27+I29</f>
        <v>0</v>
      </c>
      <c r="I31" s="16">
        <f>+I29+I27</f>
        <v>0</v>
      </c>
    </row>
    <row r="32" spans="2:10" x14ac:dyDescent="0.3">
      <c r="B32" s="15"/>
      <c r="C32" s="16"/>
      <c r="D32" s="16"/>
      <c r="F32" s="15"/>
      <c r="G32" s="16"/>
      <c r="H32" s="16"/>
    </row>
    <row r="33" spans="2:26" x14ac:dyDescent="0.3">
      <c r="B33" s="15"/>
      <c r="C33" s="16"/>
      <c r="D33" s="16"/>
      <c r="F33" s="15"/>
      <c r="G33" s="16"/>
      <c r="H33" s="16"/>
    </row>
    <row r="34" spans="2:26" x14ac:dyDescent="0.3">
      <c r="B34" s="15"/>
      <c r="C34" s="16"/>
      <c r="D34" s="16"/>
      <c r="F34" s="15"/>
      <c r="G34" s="16"/>
      <c r="H34" s="16"/>
    </row>
    <row r="35" spans="2:26" ht="25.8" x14ac:dyDescent="0.3">
      <c r="B35" s="98" t="s">
        <v>182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2:26" ht="15" thickBot="1" x14ac:dyDescent="0.35"/>
    <row r="37" spans="2:26" ht="18.600000000000001" thickBot="1" x14ac:dyDescent="0.35">
      <c r="B37" s="248" t="s">
        <v>34</v>
      </c>
      <c r="C37" s="369" t="s">
        <v>220</v>
      </c>
      <c r="D37" s="375" t="s">
        <v>221</v>
      </c>
      <c r="E37" s="364" t="s">
        <v>145</v>
      </c>
    </row>
    <row r="38" spans="2:26" ht="18" x14ac:dyDescent="0.3">
      <c r="B38" s="362" t="s">
        <v>30</v>
      </c>
      <c r="C38" s="370"/>
      <c r="D38" s="376"/>
      <c r="E38" s="363"/>
    </row>
    <row r="39" spans="2:26" ht="18" x14ac:dyDescent="0.3">
      <c r="B39" s="365" t="s">
        <v>31</v>
      </c>
      <c r="C39" s="371"/>
      <c r="D39" s="377"/>
      <c r="E39" s="368"/>
    </row>
    <row r="40" spans="2:26" ht="18" x14ac:dyDescent="0.3">
      <c r="B40" s="365" t="s">
        <v>32</v>
      </c>
      <c r="C40" s="372"/>
      <c r="D40" s="377"/>
      <c r="E40" s="368"/>
    </row>
    <row r="41" spans="2:26" ht="18.600000000000001" thickBot="1" x14ac:dyDescent="0.35">
      <c r="B41" s="366" t="s">
        <v>33</v>
      </c>
      <c r="C41" s="373"/>
      <c r="D41" s="378"/>
      <c r="E41" s="367"/>
    </row>
    <row r="42" spans="2:26" ht="18.600000000000001" thickBot="1" x14ac:dyDescent="0.35">
      <c r="B42" s="244" t="s">
        <v>25</v>
      </c>
      <c r="C42" s="374">
        <f>+C41+C40+C39+C38</f>
        <v>0</v>
      </c>
      <c r="D42" s="379">
        <f t="shared" ref="D42:E42" si="2">D38+D39+D40+D41</f>
        <v>0</v>
      </c>
      <c r="E42" s="380">
        <f t="shared" si="2"/>
        <v>0</v>
      </c>
    </row>
    <row r="43" spans="2:26" x14ac:dyDescent="0.3">
      <c r="B43" s="17"/>
      <c r="C43" s="68"/>
      <c r="D43" s="68"/>
    </row>
    <row r="44" spans="2:26" x14ac:dyDescent="0.3">
      <c r="B44" s="17"/>
      <c r="C44" s="68"/>
      <c r="D44" s="68"/>
    </row>
    <row r="45" spans="2:26" ht="25.8" x14ac:dyDescent="0.3">
      <c r="B45" s="669" t="s">
        <v>183</v>
      </c>
      <c r="C45" s="670"/>
      <c r="D45" s="68"/>
    </row>
    <row r="46" spans="2:26" ht="15" thickBot="1" x14ac:dyDescent="0.35"/>
    <row r="47" spans="2:26" ht="18.600000000000001" thickBot="1" x14ac:dyDescent="0.4">
      <c r="B47" s="676" t="s">
        <v>43</v>
      </c>
      <c r="C47" s="677"/>
      <c r="D47" s="679" t="s">
        <v>220</v>
      </c>
      <c r="E47" s="679"/>
      <c r="F47" s="679"/>
      <c r="G47" s="681"/>
      <c r="H47" s="679" t="s">
        <v>221</v>
      </c>
      <c r="I47" s="679"/>
      <c r="J47" s="679"/>
      <c r="K47" s="680"/>
    </row>
    <row r="48" spans="2:26" ht="18.600000000000001" thickBot="1" x14ac:dyDescent="0.35">
      <c r="B48" s="610"/>
      <c r="C48" s="678"/>
      <c r="D48" s="396" t="s">
        <v>39</v>
      </c>
      <c r="E48" s="394" t="s">
        <v>40</v>
      </c>
      <c r="F48" s="397" t="s">
        <v>41</v>
      </c>
      <c r="G48" s="395" t="s">
        <v>42</v>
      </c>
      <c r="H48" s="392" t="s">
        <v>39</v>
      </c>
      <c r="I48" s="393" t="s">
        <v>40</v>
      </c>
      <c r="J48" s="394" t="s">
        <v>41</v>
      </c>
      <c r="K48" s="395" t="s">
        <v>42</v>
      </c>
    </row>
    <row r="49" spans="2:11" ht="15.6" x14ac:dyDescent="0.3">
      <c r="B49" s="590" t="s">
        <v>8</v>
      </c>
      <c r="C49" s="400" t="s">
        <v>35</v>
      </c>
      <c r="D49" s="166"/>
      <c r="E49" s="106"/>
      <c r="F49" s="387"/>
      <c r="G49" s="390"/>
      <c r="H49" s="389"/>
      <c r="I49" s="13"/>
      <c r="J49" s="387"/>
      <c r="K49" s="391"/>
    </row>
    <row r="50" spans="2:11" ht="15.6" x14ac:dyDescent="0.3">
      <c r="B50" s="626"/>
      <c r="C50" s="401" t="s">
        <v>9</v>
      </c>
      <c r="D50" s="166"/>
      <c r="E50" s="106"/>
      <c r="F50" s="106"/>
      <c r="G50" s="390"/>
      <c r="H50" s="389"/>
      <c r="I50" s="13"/>
      <c r="J50" s="388"/>
      <c r="K50" s="390"/>
    </row>
    <row r="51" spans="2:11" ht="15.6" x14ac:dyDescent="0.3">
      <c r="B51" s="626"/>
      <c r="C51" s="401" t="s">
        <v>36</v>
      </c>
      <c r="D51" s="166"/>
      <c r="E51" s="106"/>
      <c r="F51" s="106"/>
      <c r="G51" s="390"/>
      <c r="H51" s="389"/>
      <c r="I51" s="13"/>
      <c r="J51" s="388"/>
      <c r="K51" s="390"/>
    </row>
    <row r="52" spans="2:11" ht="15.6" x14ac:dyDescent="0.3">
      <c r="B52" s="626"/>
      <c r="C52" s="401" t="s">
        <v>167</v>
      </c>
      <c r="D52" s="166"/>
      <c r="E52" s="106"/>
      <c r="F52" s="106"/>
      <c r="G52" s="390"/>
      <c r="H52" s="389"/>
      <c r="I52" s="13"/>
      <c r="J52" s="388"/>
      <c r="K52" s="390"/>
    </row>
    <row r="53" spans="2:11" ht="16.2" thickBot="1" x14ac:dyDescent="0.35">
      <c r="B53" s="591"/>
      <c r="C53" s="401" t="s">
        <v>168</v>
      </c>
      <c r="D53" s="389"/>
      <c r="E53" s="106"/>
      <c r="F53" s="106"/>
      <c r="G53" s="390"/>
      <c r="H53" s="389"/>
      <c r="I53" s="13"/>
      <c r="J53" s="388"/>
      <c r="K53" s="390"/>
    </row>
    <row r="54" spans="2:11" ht="18.600000000000001" thickBot="1" x14ac:dyDescent="0.4">
      <c r="B54" s="382"/>
      <c r="C54" s="398" t="s">
        <v>25</v>
      </c>
      <c r="D54" s="673">
        <f>SUM(D49:G51)</f>
        <v>0</v>
      </c>
      <c r="E54" s="674"/>
      <c r="F54" s="674"/>
      <c r="G54" s="675"/>
      <c r="H54" s="673">
        <f t="shared" ref="H54" si="3">SUM(H49:K51)</f>
        <v>0</v>
      </c>
      <c r="I54" s="674"/>
      <c r="J54" s="674"/>
      <c r="K54" s="675"/>
    </row>
    <row r="55" spans="2:11" x14ac:dyDescent="0.3">
      <c r="B55" s="590" t="s">
        <v>44</v>
      </c>
      <c r="C55" s="383" t="s">
        <v>13</v>
      </c>
      <c r="D55" s="166"/>
      <c r="E55" s="106"/>
      <c r="F55" s="106"/>
      <c r="G55" s="390"/>
      <c r="H55" s="389"/>
      <c r="I55" s="386"/>
      <c r="J55" s="386"/>
      <c r="K55" s="385"/>
    </row>
    <row r="56" spans="2:11" x14ac:dyDescent="0.3">
      <c r="B56" s="626"/>
      <c r="C56" s="383" t="s">
        <v>37</v>
      </c>
      <c r="D56" s="166"/>
      <c r="E56" s="106"/>
      <c r="F56" s="106"/>
      <c r="G56" s="390"/>
      <c r="H56" s="389"/>
      <c r="I56" s="386"/>
      <c r="J56" s="386"/>
      <c r="K56" s="385"/>
    </row>
    <row r="57" spans="2:11" x14ac:dyDescent="0.3">
      <c r="B57" s="626"/>
      <c r="C57" s="383" t="s">
        <v>10</v>
      </c>
      <c r="D57" s="389"/>
      <c r="E57" s="13"/>
      <c r="F57" s="388"/>
      <c r="G57" s="390"/>
      <c r="H57" s="389"/>
      <c r="I57" s="386"/>
      <c r="J57" s="386"/>
      <c r="K57" s="385"/>
    </row>
    <row r="58" spans="2:11" x14ac:dyDescent="0.3">
      <c r="B58" s="626"/>
      <c r="C58" s="383" t="s">
        <v>38</v>
      </c>
      <c r="D58" s="389"/>
      <c r="E58" s="13"/>
      <c r="F58" s="106"/>
      <c r="G58" s="390"/>
      <c r="H58" s="389"/>
      <c r="I58" s="386"/>
      <c r="J58" s="386"/>
      <c r="K58" s="385"/>
    </row>
    <row r="59" spans="2:11" x14ac:dyDescent="0.3">
      <c r="B59" s="626"/>
      <c r="C59" s="383" t="s">
        <v>11</v>
      </c>
      <c r="D59" s="389"/>
      <c r="E59" s="13"/>
      <c r="F59" s="106"/>
      <c r="G59" s="390"/>
      <c r="H59" s="389"/>
      <c r="I59" s="386"/>
      <c r="J59" s="386"/>
      <c r="K59" s="385"/>
    </row>
    <row r="60" spans="2:11" x14ac:dyDescent="0.3">
      <c r="B60" s="626"/>
      <c r="C60" s="383" t="s">
        <v>14</v>
      </c>
      <c r="D60" s="389"/>
      <c r="E60" s="13"/>
      <c r="F60" s="388"/>
      <c r="G60" s="390"/>
      <c r="H60" s="389"/>
      <c r="I60" s="386"/>
      <c r="J60" s="386"/>
      <c r="K60" s="385"/>
    </row>
    <row r="61" spans="2:11" x14ac:dyDescent="0.3">
      <c r="B61" s="626"/>
      <c r="C61" s="383" t="s">
        <v>12</v>
      </c>
      <c r="D61" s="389"/>
      <c r="E61" s="13"/>
      <c r="F61" s="388"/>
      <c r="G61" s="385"/>
      <c r="H61" s="389"/>
      <c r="I61" s="386"/>
      <c r="J61" s="386"/>
      <c r="K61" s="385"/>
    </row>
    <row r="62" spans="2:11" x14ac:dyDescent="0.3">
      <c r="B62" s="626"/>
      <c r="C62" s="383" t="s">
        <v>167</v>
      </c>
      <c r="D62" s="389"/>
      <c r="E62" s="388"/>
      <c r="F62" s="13"/>
      <c r="G62" s="390"/>
      <c r="H62" s="389"/>
      <c r="I62" s="386"/>
      <c r="J62" s="386"/>
      <c r="K62" s="385"/>
    </row>
    <row r="63" spans="2:11" ht="15" thickBot="1" x14ac:dyDescent="0.35">
      <c r="B63" s="591"/>
      <c r="C63" s="384" t="s">
        <v>168</v>
      </c>
      <c r="D63" s="166"/>
      <c r="E63" s="106"/>
      <c r="F63" s="388"/>
      <c r="G63" s="385"/>
      <c r="H63" s="389"/>
      <c r="I63" s="386"/>
      <c r="J63" s="386"/>
      <c r="K63" s="385"/>
    </row>
    <row r="64" spans="2:11" ht="18.600000000000001" thickBot="1" x14ac:dyDescent="0.4">
      <c r="B64" s="381"/>
      <c r="C64" s="399" t="s">
        <v>25</v>
      </c>
      <c r="D64" s="673">
        <f>SUM(D55:G61)</f>
        <v>0</v>
      </c>
      <c r="E64" s="674"/>
      <c r="F64" s="674"/>
      <c r="G64" s="675"/>
      <c r="H64" s="673">
        <f t="shared" ref="H64" si="4">SUM(H55:K61)</f>
        <v>0</v>
      </c>
      <c r="I64" s="674"/>
      <c r="J64" s="674"/>
      <c r="K64" s="675"/>
    </row>
    <row r="65" spans="2:15" x14ac:dyDescent="0.3">
      <c r="D65" s="13"/>
      <c r="E65" s="13"/>
      <c r="F65" s="13"/>
      <c r="G65" s="13"/>
    </row>
    <row r="66" spans="2:15" x14ac:dyDescent="0.3">
      <c r="O66" s="306"/>
    </row>
    <row r="67" spans="2:15" ht="15" thickBot="1" x14ac:dyDescent="0.35"/>
    <row r="68" spans="2:15" ht="18" x14ac:dyDescent="0.3">
      <c r="B68" s="685" t="s">
        <v>53</v>
      </c>
      <c r="C68" s="686"/>
      <c r="D68" s="659" t="s">
        <v>220</v>
      </c>
      <c r="E68" s="659"/>
      <c r="F68" s="689"/>
      <c r="G68" s="659" t="s">
        <v>221</v>
      </c>
      <c r="H68" s="659"/>
      <c r="I68" s="592"/>
    </row>
    <row r="69" spans="2:15" ht="15.75" customHeight="1" thickBot="1" x14ac:dyDescent="0.35">
      <c r="B69" s="687"/>
      <c r="C69" s="688"/>
      <c r="D69" s="450" t="s">
        <v>50</v>
      </c>
      <c r="E69" s="405" t="s">
        <v>51</v>
      </c>
      <c r="F69" s="415" t="s">
        <v>52</v>
      </c>
      <c r="G69" s="404" t="s">
        <v>50</v>
      </c>
      <c r="H69" s="406" t="s">
        <v>51</v>
      </c>
      <c r="I69" s="403" t="s">
        <v>52</v>
      </c>
    </row>
    <row r="70" spans="2:15" ht="18" x14ac:dyDescent="0.35">
      <c r="B70" s="590" t="s">
        <v>54</v>
      </c>
      <c r="C70" s="416" t="s">
        <v>45</v>
      </c>
      <c r="D70" s="409"/>
      <c r="E70" s="408"/>
      <c r="F70" s="414"/>
      <c r="G70" s="409"/>
      <c r="H70" s="408"/>
      <c r="I70" s="410"/>
    </row>
    <row r="71" spans="2:15" ht="18" x14ac:dyDescent="0.35">
      <c r="B71" s="626"/>
      <c r="C71" s="417" t="s">
        <v>46</v>
      </c>
      <c r="D71" s="202"/>
      <c r="E71" s="295"/>
      <c r="F71" s="292"/>
      <c r="G71" s="202"/>
      <c r="H71" s="295"/>
      <c r="I71" s="197"/>
    </row>
    <row r="72" spans="2:15" ht="18" x14ac:dyDescent="0.35">
      <c r="B72" s="626"/>
      <c r="C72" s="417" t="s">
        <v>47</v>
      </c>
      <c r="D72" s="202"/>
      <c r="E72" s="295"/>
      <c r="F72" s="292"/>
      <c r="G72" s="202"/>
      <c r="H72" s="295"/>
      <c r="I72" s="197"/>
    </row>
    <row r="73" spans="2:15" ht="18.600000000000001" thickBot="1" x14ac:dyDescent="0.4">
      <c r="B73" s="591"/>
      <c r="C73" s="418" t="s">
        <v>48</v>
      </c>
      <c r="D73" s="152"/>
      <c r="E73" s="220"/>
      <c r="F73" s="290"/>
      <c r="G73" s="152"/>
      <c r="H73" s="220"/>
      <c r="I73" s="190"/>
    </row>
    <row r="74" spans="2:15" ht="18.600000000000001" thickBot="1" x14ac:dyDescent="0.4">
      <c r="B74" s="322"/>
      <c r="C74" s="402" t="s">
        <v>25</v>
      </c>
      <c r="D74" s="690">
        <f>SUM(D70:F73)</f>
        <v>0</v>
      </c>
      <c r="E74" s="671"/>
      <c r="F74" s="691"/>
      <c r="G74" s="671">
        <f t="shared" ref="G74" si="5">SUM(G70:I73)</f>
        <v>0</v>
      </c>
      <c r="H74" s="671"/>
      <c r="I74" s="672"/>
    </row>
    <row r="75" spans="2:15" ht="18" x14ac:dyDescent="0.35">
      <c r="B75" s="590" t="s">
        <v>49</v>
      </c>
      <c r="C75" s="407" t="s">
        <v>45</v>
      </c>
      <c r="D75" s="449"/>
      <c r="E75" s="409"/>
      <c r="F75" s="414"/>
      <c r="G75" s="409"/>
      <c r="H75" s="409"/>
      <c r="I75" s="411"/>
    </row>
    <row r="76" spans="2:15" ht="18" x14ac:dyDescent="0.35">
      <c r="B76" s="626"/>
      <c r="C76" s="417" t="s">
        <v>46</v>
      </c>
      <c r="D76" s="202"/>
      <c r="E76" s="202"/>
      <c r="F76" s="292"/>
      <c r="G76" s="202"/>
      <c r="H76" s="202"/>
      <c r="I76" s="197"/>
    </row>
    <row r="77" spans="2:15" ht="18" x14ac:dyDescent="0.35">
      <c r="B77" s="626"/>
      <c r="C77" s="417" t="s">
        <v>47</v>
      </c>
      <c r="D77" s="202"/>
      <c r="E77" s="202"/>
      <c r="F77" s="292"/>
      <c r="G77" s="202"/>
      <c r="H77" s="202"/>
      <c r="I77" s="197"/>
    </row>
    <row r="78" spans="2:15" ht="18.600000000000001" thickBot="1" x14ac:dyDescent="0.4">
      <c r="B78" s="591"/>
      <c r="C78" s="418" t="s">
        <v>48</v>
      </c>
      <c r="D78" s="152"/>
      <c r="E78" s="152"/>
      <c r="F78" s="290"/>
      <c r="G78" s="152"/>
      <c r="H78" s="152"/>
      <c r="I78" s="190"/>
    </row>
    <row r="79" spans="2:15" ht="18.600000000000001" thickBot="1" x14ac:dyDescent="0.4">
      <c r="B79" s="412"/>
      <c r="C79" s="413" t="s">
        <v>25</v>
      </c>
      <c r="D79" s="683">
        <f>SUM(D75:F78)</f>
        <v>0</v>
      </c>
      <c r="E79" s="683"/>
      <c r="F79" s="692"/>
      <c r="G79" s="683">
        <f t="shared" ref="G79" si="6">SUM(G75:I78)</f>
        <v>0</v>
      </c>
      <c r="H79" s="683"/>
      <c r="I79" s="684"/>
    </row>
  </sheetData>
  <mergeCells count="29">
    <mergeCell ref="I27:I28"/>
    <mergeCell ref="J27:J28"/>
    <mergeCell ref="I29:I30"/>
    <mergeCell ref="J29:J30"/>
    <mergeCell ref="H27:H28"/>
    <mergeCell ref="H29:H30"/>
    <mergeCell ref="G79:I79"/>
    <mergeCell ref="B75:B78"/>
    <mergeCell ref="B70:B73"/>
    <mergeCell ref="B68:C69"/>
    <mergeCell ref="D68:F68"/>
    <mergeCell ref="D74:F74"/>
    <mergeCell ref="D79:F79"/>
    <mergeCell ref="I2:J6"/>
    <mergeCell ref="C2:H6"/>
    <mergeCell ref="B45:C45"/>
    <mergeCell ref="G74:I74"/>
    <mergeCell ref="G68:I68"/>
    <mergeCell ref="H64:K64"/>
    <mergeCell ref="H54:K54"/>
    <mergeCell ref="B47:C48"/>
    <mergeCell ref="H47:K47"/>
    <mergeCell ref="D47:G47"/>
    <mergeCell ref="D54:G54"/>
    <mergeCell ref="D64:G64"/>
    <mergeCell ref="G27:G28"/>
    <mergeCell ref="G29:G30"/>
    <mergeCell ref="B55:B63"/>
    <mergeCell ref="B49:B5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L43"/>
  <sheetViews>
    <sheetView showGridLines="0" workbookViewId="0">
      <selection activeCell="C20" sqref="C20"/>
    </sheetView>
  </sheetViews>
  <sheetFormatPr baseColWidth="10" defaultRowHeight="14.4" x14ac:dyDescent="0.3"/>
  <cols>
    <col min="2" max="2" width="36.5546875" customWidth="1"/>
    <col min="3" max="3" width="20.5546875" customWidth="1"/>
    <col min="4" max="4" width="17.44140625" customWidth="1"/>
    <col min="5" max="5" width="19" customWidth="1"/>
    <col min="6" max="6" width="17.6640625" customWidth="1"/>
    <col min="7" max="7" width="17.88671875" customWidth="1"/>
    <col min="8" max="8" width="17" customWidth="1"/>
  </cols>
  <sheetData>
    <row r="2" spans="2:10" x14ac:dyDescent="0.3">
      <c r="B2" s="84"/>
      <c r="C2" s="668" t="s">
        <v>229</v>
      </c>
      <c r="D2" s="580"/>
      <c r="E2" s="580"/>
      <c r="F2" s="580"/>
      <c r="G2" s="580"/>
      <c r="H2" s="581"/>
      <c r="I2" s="662" t="s">
        <v>186</v>
      </c>
      <c r="J2" s="663"/>
    </row>
    <row r="3" spans="2:10" x14ac:dyDescent="0.3">
      <c r="B3" s="85"/>
      <c r="C3" s="582"/>
      <c r="D3" s="583"/>
      <c r="E3" s="583"/>
      <c r="F3" s="583"/>
      <c r="G3" s="583"/>
      <c r="H3" s="584"/>
      <c r="I3" s="664"/>
      <c r="J3" s="665"/>
    </row>
    <row r="4" spans="2:10" x14ac:dyDescent="0.3">
      <c r="B4" s="85"/>
      <c r="C4" s="582"/>
      <c r="D4" s="583"/>
      <c r="E4" s="583"/>
      <c r="F4" s="583"/>
      <c r="G4" s="583"/>
      <c r="H4" s="584"/>
      <c r="I4" s="664"/>
      <c r="J4" s="665"/>
    </row>
    <row r="5" spans="2:10" x14ac:dyDescent="0.3">
      <c r="B5" s="85"/>
      <c r="C5" s="582"/>
      <c r="D5" s="583"/>
      <c r="E5" s="583"/>
      <c r="F5" s="583"/>
      <c r="G5" s="583"/>
      <c r="H5" s="584"/>
      <c r="I5" s="664"/>
      <c r="J5" s="665"/>
    </row>
    <row r="6" spans="2:10" x14ac:dyDescent="0.3">
      <c r="B6" s="86"/>
      <c r="C6" s="585"/>
      <c r="D6" s="586"/>
      <c r="E6" s="586"/>
      <c r="F6" s="586"/>
      <c r="G6" s="586"/>
      <c r="H6" s="587"/>
      <c r="I6" s="666"/>
      <c r="J6" s="667"/>
    </row>
    <row r="17" spans="2:12" ht="25.8" x14ac:dyDescent="0.5">
      <c r="B17" s="154" t="s">
        <v>184</v>
      </c>
    </row>
    <row r="18" spans="2:12" ht="15" thickBot="1" x14ac:dyDescent="0.35">
      <c r="B18" s="9"/>
      <c r="C18" s="9"/>
      <c r="D18" s="9"/>
      <c r="E18" s="9"/>
    </row>
    <row r="19" spans="2:12" ht="18" x14ac:dyDescent="0.35">
      <c r="B19" s="709" t="s">
        <v>56</v>
      </c>
      <c r="C19" s="713" t="s">
        <v>220</v>
      </c>
      <c r="D19" s="679"/>
      <c r="E19" s="680"/>
      <c r="F19" s="679" t="s">
        <v>221</v>
      </c>
      <c r="G19" s="679"/>
      <c r="H19" s="680"/>
    </row>
    <row r="20" spans="2:12" ht="18.600000000000001" thickBot="1" x14ac:dyDescent="0.35">
      <c r="B20" s="710"/>
      <c r="C20" s="431" t="s">
        <v>24</v>
      </c>
      <c r="D20" s="432" t="s">
        <v>63</v>
      </c>
      <c r="E20" s="433" t="s">
        <v>22</v>
      </c>
      <c r="F20" s="432" t="s">
        <v>24</v>
      </c>
      <c r="G20" s="432" t="s">
        <v>63</v>
      </c>
      <c r="H20" s="433" t="s">
        <v>22</v>
      </c>
    </row>
    <row r="21" spans="2:12" ht="18" x14ac:dyDescent="0.35">
      <c r="B21" s="425" t="s">
        <v>55</v>
      </c>
      <c r="C21" s="428"/>
      <c r="D21" s="421"/>
      <c r="E21" s="422" t="e">
        <f>D21/C21</f>
        <v>#DIV/0!</v>
      </c>
      <c r="F21" s="421"/>
      <c r="G21" s="421"/>
      <c r="H21" s="422" t="e">
        <f>G21/F21</f>
        <v>#DIV/0!</v>
      </c>
    </row>
    <row r="22" spans="2:12" ht="18" x14ac:dyDescent="0.35">
      <c r="B22" s="426" t="s">
        <v>7</v>
      </c>
      <c r="C22" s="429"/>
      <c r="D22" s="420"/>
      <c r="E22" s="422" t="e">
        <f t="shared" ref="E22:E23" si="0">D22/C22</f>
        <v>#DIV/0!</v>
      </c>
      <c r="F22" s="420"/>
      <c r="G22" s="420"/>
      <c r="H22" s="422" t="e">
        <f t="shared" ref="H22:H23" si="1">G22/F22</f>
        <v>#DIV/0!</v>
      </c>
    </row>
    <row r="23" spans="2:12" ht="18.600000000000001" thickBot="1" x14ac:dyDescent="0.4">
      <c r="B23" s="427" t="s">
        <v>15</v>
      </c>
      <c r="C23" s="430"/>
      <c r="D23" s="423"/>
      <c r="E23" s="422" t="e">
        <f t="shared" si="0"/>
        <v>#DIV/0!</v>
      </c>
      <c r="F23" s="423"/>
      <c r="G23" s="423"/>
      <c r="H23" s="422" t="e">
        <f t="shared" si="1"/>
        <v>#DIV/0!</v>
      </c>
    </row>
    <row r="24" spans="2:12" ht="18.600000000000001" thickBot="1" x14ac:dyDescent="0.35">
      <c r="B24" s="424" t="s">
        <v>19</v>
      </c>
      <c r="C24" s="714">
        <f t="shared" ref="C24" si="2">D21+D22+D23</f>
        <v>0</v>
      </c>
      <c r="D24" s="683"/>
      <c r="E24" s="684"/>
      <c r="F24" s="683">
        <f t="shared" ref="F24" si="3">G21+G22+G23</f>
        <v>0</v>
      </c>
      <c r="G24" s="683"/>
      <c r="H24" s="684"/>
    </row>
    <row r="25" spans="2:12" x14ac:dyDescent="0.3">
      <c r="B25" s="72"/>
      <c r="C25" s="68"/>
      <c r="D25" s="68"/>
      <c r="E25" s="68"/>
    </row>
    <row r="26" spans="2:12" x14ac:dyDescent="0.3">
      <c r="B26" s="72"/>
      <c r="C26" s="68"/>
      <c r="D26" s="68"/>
      <c r="E26" s="68"/>
      <c r="L26" s="9"/>
    </row>
    <row r="27" spans="2:12" x14ac:dyDescent="0.3">
      <c r="B27" s="72"/>
      <c r="C27" s="68"/>
      <c r="D27" s="68"/>
      <c r="E27" s="68"/>
      <c r="L27" s="9"/>
    </row>
    <row r="28" spans="2:12" ht="25.8" x14ac:dyDescent="0.3">
      <c r="B28" s="704" t="s">
        <v>185</v>
      </c>
      <c r="C28" s="705"/>
      <c r="D28" s="705"/>
      <c r="E28" s="1"/>
      <c r="L28" s="13"/>
    </row>
    <row r="29" spans="2:12" ht="15" thickBot="1" x14ac:dyDescent="0.35">
      <c r="B29" s="9"/>
      <c r="C29" s="9"/>
      <c r="D29" s="9"/>
      <c r="E29" s="9"/>
      <c r="L29" s="13"/>
    </row>
    <row r="30" spans="2:12" ht="18" x14ac:dyDescent="0.35">
      <c r="B30" s="711" t="s">
        <v>152</v>
      </c>
      <c r="C30" s="713" t="s">
        <v>220</v>
      </c>
      <c r="D30" s="679"/>
      <c r="E30" s="680"/>
      <c r="F30" s="679" t="s">
        <v>221</v>
      </c>
      <c r="G30" s="679"/>
      <c r="H30" s="680"/>
      <c r="L30" s="9"/>
    </row>
    <row r="31" spans="2:12" ht="18.600000000000001" thickBot="1" x14ac:dyDescent="0.35">
      <c r="B31" s="712"/>
      <c r="C31" s="432" t="s">
        <v>24</v>
      </c>
      <c r="D31" s="432" t="s">
        <v>63</v>
      </c>
      <c r="E31" s="432" t="s">
        <v>22</v>
      </c>
      <c r="F31" s="431" t="s">
        <v>24</v>
      </c>
      <c r="G31" s="432" t="s">
        <v>63</v>
      </c>
      <c r="H31" s="433" t="s">
        <v>22</v>
      </c>
      <c r="L31" s="9"/>
    </row>
    <row r="32" spans="2:12" ht="15.6" x14ac:dyDescent="0.3">
      <c r="B32" s="443" t="s">
        <v>16</v>
      </c>
      <c r="C32" s="444"/>
      <c r="D32" s="444"/>
      <c r="E32" s="444"/>
      <c r="F32" s="445"/>
      <c r="G32" s="444"/>
      <c r="H32" s="446"/>
    </row>
    <row r="33" spans="2:8" ht="15.6" x14ac:dyDescent="0.3">
      <c r="B33" s="435" t="s">
        <v>57</v>
      </c>
      <c r="C33" s="419"/>
      <c r="D33" s="419"/>
      <c r="E33" s="419"/>
      <c r="F33" s="437"/>
      <c r="G33" s="419"/>
      <c r="H33" s="434"/>
    </row>
    <row r="34" spans="2:8" ht="15.6" x14ac:dyDescent="0.3">
      <c r="B34" s="436" t="s">
        <v>17</v>
      </c>
      <c r="C34" s="419"/>
      <c r="D34" s="419"/>
      <c r="E34" s="419"/>
      <c r="F34" s="437"/>
      <c r="G34" s="419"/>
      <c r="H34" s="434"/>
    </row>
    <row r="35" spans="2:8" ht="16.2" thickBot="1" x14ac:dyDescent="0.35">
      <c r="B35" s="438" t="s">
        <v>58</v>
      </c>
      <c r="C35" s="439"/>
      <c r="D35" s="439"/>
      <c r="E35" s="439"/>
      <c r="F35" s="440"/>
      <c r="G35" s="439"/>
      <c r="H35" s="441"/>
    </row>
    <row r="36" spans="2:8" ht="18.600000000000001" thickBot="1" x14ac:dyDescent="0.35">
      <c r="B36" s="442" t="s">
        <v>18</v>
      </c>
      <c r="C36" s="707">
        <f t="shared" ref="C36" si="4">D32+D33+D34+D35</f>
        <v>0</v>
      </c>
      <c r="D36" s="707"/>
      <c r="E36" s="707"/>
      <c r="F36" s="706">
        <f t="shared" ref="F36" si="5">G32+G33+G34+G35</f>
        <v>0</v>
      </c>
      <c r="G36" s="707"/>
      <c r="H36" s="708"/>
    </row>
    <row r="39" spans="2:8" ht="15" thickBot="1" x14ac:dyDescent="0.35">
      <c r="B39" s="19"/>
      <c r="C39" s="20"/>
      <c r="D39" s="20"/>
      <c r="E39" s="20"/>
    </row>
    <row r="40" spans="2:8" ht="15" customHeight="1" x14ac:dyDescent="0.3">
      <c r="B40" s="701" t="s">
        <v>204</v>
      </c>
      <c r="C40" s="695" t="s">
        <v>220</v>
      </c>
      <c r="D40" s="696"/>
      <c r="E40" s="697"/>
      <c r="F40" s="695" t="s">
        <v>221</v>
      </c>
      <c r="G40" s="696"/>
      <c r="H40" s="697"/>
    </row>
    <row r="41" spans="2:8" ht="15.75" customHeight="1" thickBot="1" x14ac:dyDescent="0.35">
      <c r="B41" s="702"/>
      <c r="C41" s="698"/>
      <c r="D41" s="699"/>
      <c r="E41" s="700"/>
      <c r="F41" s="698"/>
      <c r="G41" s="699"/>
      <c r="H41" s="700"/>
    </row>
    <row r="42" spans="2:8" ht="15.75" customHeight="1" x14ac:dyDescent="0.3">
      <c r="B42" s="702"/>
      <c r="C42" s="452" t="s">
        <v>24</v>
      </c>
      <c r="D42" s="453" t="s">
        <v>63</v>
      </c>
      <c r="E42" s="454" t="s">
        <v>22</v>
      </c>
      <c r="F42" s="452" t="s">
        <v>24</v>
      </c>
      <c r="G42" s="453" t="s">
        <v>63</v>
      </c>
      <c r="H42" s="454" t="s">
        <v>22</v>
      </c>
    </row>
    <row r="43" spans="2:8" ht="16.2" thickBot="1" x14ac:dyDescent="0.35">
      <c r="B43" s="703"/>
      <c r="C43" s="451"/>
      <c r="D43" s="447"/>
      <c r="E43" s="303" t="e">
        <f>D43/C43</f>
        <v>#DIV/0!</v>
      </c>
      <c r="F43" s="451"/>
      <c r="G43" s="447"/>
      <c r="H43" s="303" t="e">
        <f>G43/F43</f>
        <v>#DIV/0!</v>
      </c>
    </row>
  </sheetData>
  <mergeCells count="16">
    <mergeCell ref="F40:H41"/>
    <mergeCell ref="B40:B43"/>
    <mergeCell ref="C40:E41"/>
    <mergeCell ref="C2:H6"/>
    <mergeCell ref="I2:J6"/>
    <mergeCell ref="B28:D28"/>
    <mergeCell ref="F30:H30"/>
    <mergeCell ref="F36:H36"/>
    <mergeCell ref="C36:E36"/>
    <mergeCell ref="F19:H19"/>
    <mergeCell ref="F24:H24"/>
    <mergeCell ref="B19:B20"/>
    <mergeCell ref="B30:B31"/>
    <mergeCell ref="C19:E19"/>
    <mergeCell ref="C24:E24"/>
    <mergeCell ref="C30:E30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B2:K30"/>
  <sheetViews>
    <sheetView showGridLines="0" workbookViewId="0">
      <selection activeCell="B1" sqref="B1:B1048576"/>
    </sheetView>
  </sheetViews>
  <sheetFormatPr baseColWidth="10" defaultRowHeight="14.4" x14ac:dyDescent="0.3"/>
  <cols>
    <col min="2" max="2" width="41.88671875" customWidth="1"/>
    <col min="3" max="3" width="16.109375" customWidth="1"/>
    <col min="4" max="4" width="16" customWidth="1"/>
    <col min="6" max="6" width="15" customWidth="1"/>
  </cols>
  <sheetData>
    <row r="2" spans="2:11" x14ac:dyDescent="0.3">
      <c r="B2" s="78"/>
      <c r="C2" s="546" t="s">
        <v>230</v>
      </c>
      <c r="D2" s="580"/>
      <c r="E2" s="580"/>
      <c r="F2" s="580"/>
      <c r="G2" s="580"/>
      <c r="H2" s="580"/>
      <c r="I2" s="580"/>
      <c r="J2" s="720" t="s">
        <v>186</v>
      </c>
      <c r="K2" s="663"/>
    </row>
    <row r="3" spans="2:11" x14ac:dyDescent="0.3">
      <c r="B3" s="79"/>
      <c r="C3" s="583"/>
      <c r="D3" s="583"/>
      <c r="E3" s="583"/>
      <c r="F3" s="583"/>
      <c r="G3" s="583"/>
      <c r="H3" s="583"/>
      <c r="I3" s="583"/>
      <c r="J3" s="721"/>
      <c r="K3" s="665"/>
    </row>
    <row r="4" spans="2:11" x14ac:dyDescent="0.3">
      <c r="B4" s="79"/>
      <c r="C4" s="583"/>
      <c r="D4" s="583"/>
      <c r="E4" s="583"/>
      <c r="F4" s="583"/>
      <c r="G4" s="583"/>
      <c r="H4" s="583"/>
      <c r="I4" s="583"/>
      <c r="J4" s="721"/>
      <c r="K4" s="665"/>
    </row>
    <row r="5" spans="2:11" x14ac:dyDescent="0.3">
      <c r="B5" s="79"/>
      <c r="C5" s="583"/>
      <c r="D5" s="583"/>
      <c r="E5" s="583"/>
      <c r="F5" s="583"/>
      <c r="G5" s="583"/>
      <c r="H5" s="583"/>
      <c r="I5" s="583"/>
      <c r="J5" s="721"/>
      <c r="K5" s="665"/>
    </row>
    <row r="6" spans="2:11" x14ac:dyDescent="0.3">
      <c r="B6" s="80"/>
      <c r="C6" s="586"/>
      <c r="D6" s="586"/>
      <c r="E6" s="586"/>
      <c r="F6" s="586"/>
      <c r="G6" s="586"/>
      <c r="H6" s="586"/>
      <c r="I6" s="586"/>
      <c r="J6" s="722"/>
      <c r="K6" s="667"/>
    </row>
    <row r="7" spans="2:11" ht="25.8" x14ac:dyDescent="0.3">
      <c r="B7" s="9"/>
      <c r="C7" s="81"/>
      <c r="D7" s="81"/>
      <c r="E7" s="81"/>
      <c r="F7" s="81"/>
      <c r="G7" s="81"/>
      <c r="H7" s="81"/>
      <c r="I7" s="81"/>
      <c r="J7" s="83"/>
      <c r="K7" s="83"/>
    </row>
    <row r="8" spans="2:11" ht="25.8" x14ac:dyDescent="0.3">
      <c r="B8" s="9"/>
      <c r="C8" s="81"/>
      <c r="D8" s="81"/>
      <c r="E8" s="81"/>
      <c r="F8" s="81"/>
      <c r="G8" s="81"/>
      <c r="H8" s="81"/>
      <c r="I8" s="81"/>
      <c r="J8" s="83"/>
      <c r="K8" s="83"/>
    </row>
    <row r="9" spans="2:11" ht="25.8" x14ac:dyDescent="0.3">
      <c r="B9" s="9"/>
      <c r="C9" s="81"/>
      <c r="D9" s="81"/>
      <c r="E9" s="81"/>
      <c r="F9" s="81"/>
      <c r="G9" s="81"/>
      <c r="H9" s="81"/>
      <c r="I9" s="81"/>
      <c r="J9" s="83"/>
      <c r="K9" s="83"/>
    </row>
    <row r="10" spans="2:11" ht="25.8" x14ac:dyDescent="0.3">
      <c r="B10" s="9"/>
      <c r="C10" s="81"/>
      <c r="D10" s="81"/>
      <c r="E10" s="81"/>
      <c r="F10" s="81"/>
      <c r="G10" s="81"/>
      <c r="H10" s="81"/>
      <c r="I10" s="81"/>
      <c r="J10" s="83"/>
      <c r="K10" s="83"/>
    </row>
    <row r="12" spans="2:11" ht="25.8" x14ac:dyDescent="0.5">
      <c r="B12" s="213" t="s">
        <v>187</v>
      </c>
    </row>
    <row r="14" spans="2:11" ht="15.6" x14ac:dyDescent="0.3">
      <c r="B14" s="715" t="s">
        <v>62</v>
      </c>
      <c r="C14" s="717" t="s">
        <v>220</v>
      </c>
      <c r="D14" s="718"/>
      <c r="E14" s="719"/>
      <c r="F14" s="717" t="s">
        <v>221</v>
      </c>
      <c r="G14" s="718"/>
      <c r="H14" s="719"/>
    </row>
    <row r="15" spans="2:11" ht="15.6" x14ac:dyDescent="0.3">
      <c r="B15" s="716"/>
      <c r="C15" s="74" t="s">
        <v>104</v>
      </c>
      <c r="D15" s="75" t="s">
        <v>63</v>
      </c>
      <c r="E15" s="76" t="s">
        <v>64</v>
      </c>
      <c r="F15" s="74" t="s">
        <v>104</v>
      </c>
      <c r="G15" s="75" t="s">
        <v>63</v>
      </c>
      <c r="H15" s="76" t="s">
        <v>64</v>
      </c>
    </row>
    <row r="16" spans="2:11" x14ac:dyDescent="0.3">
      <c r="B16" s="43" t="s">
        <v>105</v>
      </c>
      <c r="C16" s="53"/>
      <c r="D16" s="49"/>
      <c r="E16" s="44"/>
      <c r="F16" s="53"/>
      <c r="G16" s="49"/>
      <c r="H16" s="44"/>
    </row>
    <row r="17" spans="2:11" x14ac:dyDescent="0.3">
      <c r="B17" s="60" t="s">
        <v>106</v>
      </c>
      <c r="C17" s="61"/>
      <c r="D17" s="35"/>
      <c r="E17" s="62"/>
      <c r="F17" s="61"/>
      <c r="G17" s="35"/>
      <c r="H17" s="62"/>
    </row>
    <row r="18" spans="2:11" x14ac:dyDescent="0.3">
      <c r="B18" s="37" t="s">
        <v>107</v>
      </c>
      <c r="C18" s="55"/>
      <c r="D18" s="50"/>
      <c r="E18" s="38"/>
      <c r="F18" s="55"/>
      <c r="G18" s="50"/>
      <c r="H18" s="38"/>
    </row>
    <row r="19" spans="2:11" x14ac:dyDescent="0.3">
      <c r="B19" s="39" t="s">
        <v>108</v>
      </c>
      <c r="C19" s="56"/>
      <c r="D19" s="51"/>
      <c r="E19" s="40"/>
      <c r="F19" s="56"/>
      <c r="G19" s="51"/>
      <c r="H19" s="40"/>
    </row>
    <row r="20" spans="2:11" x14ac:dyDescent="0.3">
      <c r="B20" s="46" t="s">
        <v>109</v>
      </c>
      <c r="C20" s="57"/>
      <c r="D20" s="52"/>
      <c r="E20" s="47"/>
      <c r="F20" s="57"/>
      <c r="G20" s="52"/>
      <c r="H20" s="47"/>
      <c r="K20" s="9"/>
    </row>
    <row r="21" spans="2:11" x14ac:dyDescent="0.3">
      <c r="B21" s="63" t="s">
        <v>110</v>
      </c>
      <c r="C21" s="64"/>
      <c r="D21" s="65"/>
      <c r="E21" s="66"/>
      <c r="F21" s="64"/>
      <c r="G21" s="65"/>
      <c r="H21" s="66"/>
      <c r="K21" s="9"/>
    </row>
    <row r="22" spans="2:11" x14ac:dyDescent="0.3">
      <c r="B22" s="39" t="s">
        <v>111</v>
      </c>
      <c r="C22" s="56"/>
      <c r="D22" s="51"/>
      <c r="E22" s="40"/>
      <c r="F22" s="56"/>
      <c r="G22" s="51"/>
      <c r="H22" s="40"/>
      <c r="K22" s="9"/>
    </row>
    <row r="23" spans="2:11" x14ac:dyDescent="0.3">
      <c r="B23" s="46" t="s">
        <v>112</v>
      </c>
      <c r="C23" s="57"/>
      <c r="D23" s="52"/>
      <c r="E23" s="47"/>
      <c r="F23" s="57"/>
      <c r="G23" s="52"/>
      <c r="H23" s="47"/>
      <c r="K23" s="9"/>
    </row>
    <row r="24" spans="2:11" x14ac:dyDescent="0.3">
      <c r="B24" s="63" t="s">
        <v>113</v>
      </c>
      <c r="C24" s="64"/>
      <c r="D24" s="65"/>
      <c r="E24" s="66"/>
      <c r="F24" s="64"/>
      <c r="G24" s="65"/>
      <c r="H24" s="66"/>
      <c r="K24" s="9"/>
    </row>
    <row r="25" spans="2:11" x14ac:dyDescent="0.3">
      <c r="B25" s="39" t="s">
        <v>114</v>
      </c>
      <c r="C25" s="56"/>
      <c r="D25" s="51"/>
      <c r="E25" s="40"/>
      <c r="F25" s="56"/>
      <c r="G25" s="51"/>
      <c r="H25" s="40"/>
    </row>
    <row r="26" spans="2:11" x14ac:dyDescent="0.3">
      <c r="B26" s="46" t="s">
        <v>115</v>
      </c>
      <c r="C26" s="57"/>
      <c r="D26" s="52"/>
      <c r="E26" s="47"/>
      <c r="F26" s="57"/>
      <c r="G26" s="52"/>
      <c r="H26" s="47"/>
    </row>
    <row r="27" spans="2:11" x14ac:dyDescent="0.3">
      <c r="B27" s="60" t="s">
        <v>116</v>
      </c>
      <c r="C27" s="61"/>
      <c r="D27" s="35"/>
      <c r="E27" s="62"/>
      <c r="F27" s="61"/>
      <c r="G27" s="35"/>
      <c r="H27" s="62"/>
    </row>
    <row r="28" spans="2:11" x14ac:dyDescent="0.3">
      <c r="B28" s="48" t="s">
        <v>117</v>
      </c>
      <c r="C28" s="54"/>
      <c r="D28" s="36"/>
      <c r="E28" s="45"/>
      <c r="F28" s="54"/>
      <c r="G28" s="36"/>
      <c r="H28" s="45"/>
    </row>
    <row r="29" spans="2:11" x14ac:dyDescent="0.3">
      <c r="B29" s="63" t="s">
        <v>118</v>
      </c>
      <c r="C29" s="63"/>
      <c r="D29" s="65"/>
      <c r="E29" s="66"/>
      <c r="F29" s="63"/>
      <c r="G29" s="65"/>
      <c r="H29" s="66"/>
    </row>
    <row r="30" spans="2:11" x14ac:dyDescent="0.3">
      <c r="B30" s="41" t="s">
        <v>119</v>
      </c>
      <c r="C30" s="41"/>
      <c r="D30" s="58"/>
      <c r="E30" s="42"/>
      <c r="F30" s="41"/>
      <c r="G30" s="58"/>
      <c r="H30" s="42"/>
    </row>
  </sheetData>
  <mergeCells count="5">
    <mergeCell ref="B14:B15"/>
    <mergeCell ref="F14:H14"/>
    <mergeCell ref="C14:E14"/>
    <mergeCell ref="C2:I6"/>
    <mergeCell ref="J2:K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O50"/>
  <sheetViews>
    <sheetView workbookViewId="0">
      <selection activeCell="M48" sqref="M48"/>
    </sheetView>
  </sheetViews>
  <sheetFormatPr baseColWidth="10" defaultColWidth="11.44140625" defaultRowHeight="14.4" x14ac:dyDescent="0.3"/>
  <cols>
    <col min="1" max="1" width="11.44140625" style="20"/>
    <col min="2" max="2" width="41.88671875" style="20" customWidth="1"/>
    <col min="3" max="16384" width="11.44140625" style="20"/>
  </cols>
  <sheetData>
    <row r="1" spans="2:119" ht="15.75" customHeight="1" x14ac:dyDescent="0.3"/>
    <row r="2" spans="2:119" ht="15.75" customHeight="1" x14ac:dyDescent="0.3">
      <c r="B2" s="536"/>
      <c r="C2" s="724" t="s">
        <v>235</v>
      </c>
      <c r="D2" s="725"/>
      <c r="E2" s="725"/>
      <c r="F2" s="725"/>
      <c r="G2" s="725"/>
      <c r="H2" s="725"/>
      <c r="I2" s="725"/>
      <c r="J2" s="725"/>
      <c r="K2" s="725"/>
      <c r="L2" s="725"/>
      <c r="M2" s="730" t="s">
        <v>186</v>
      </c>
    </row>
    <row r="3" spans="2:119" ht="15.75" customHeight="1" x14ac:dyDescent="0.3">
      <c r="B3" s="537"/>
      <c r="C3" s="726"/>
      <c r="D3" s="727"/>
      <c r="E3" s="727"/>
      <c r="F3" s="727"/>
      <c r="G3" s="727"/>
      <c r="H3" s="727"/>
      <c r="I3" s="727"/>
      <c r="J3" s="727"/>
      <c r="K3" s="727"/>
      <c r="L3" s="727"/>
      <c r="M3" s="731"/>
    </row>
    <row r="4" spans="2:119" ht="15.75" customHeight="1" x14ac:dyDescent="0.3">
      <c r="B4" s="537"/>
      <c r="C4" s="726"/>
      <c r="D4" s="727"/>
      <c r="E4" s="727"/>
      <c r="F4" s="727"/>
      <c r="G4" s="727"/>
      <c r="H4" s="727"/>
      <c r="I4" s="727"/>
      <c r="J4" s="727"/>
      <c r="K4" s="727"/>
      <c r="L4" s="727"/>
      <c r="M4" s="731"/>
    </row>
    <row r="5" spans="2:119" ht="15.75" customHeight="1" x14ac:dyDescent="0.3">
      <c r="B5" s="538"/>
      <c r="C5" s="728"/>
      <c r="D5" s="729"/>
      <c r="E5" s="729"/>
      <c r="F5" s="729"/>
      <c r="G5" s="729"/>
      <c r="H5" s="729"/>
      <c r="I5" s="729"/>
      <c r="J5" s="729"/>
      <c r="K5" s="729"/>
      <c r="L5" s="729"/>
      <c r="M5" s="732"/>
    </row>
    <row r="6" spans="2:119" ht="20.25" customHeight="1" x14ac:dyDescent="0.3">
      <c r="M6" s="539"/>
    </row>
    <row r="16" spans="2:119" customFormat="1" ht="25.8" x14ac:dyDescent="0.5">
      <c r="B16" s="154" t="s">
        <v>169</v>
      </c>
      <c r="C16" s="82"/>
      <c r="F16" s="20"/>
      <c r="G16" s="20"/>
      <c r="H16" s="20"/>
      <c r="I16" s="13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</row>
    <row r="18" spans="1:119" ht="15" thickBot="1" x14ac:dyDescent="0.35"/>
    <row r="19" spans="1:119" customFormat="1" ht="25.5" customHeight="1" thickBot="1" x14ac:dyDescent="0.35">
      <c r="A19" s="20"/>
      <c r="B19" s="251" t="s">
        <v>166</v>
      </c>
      <c r="C19" s="249" t="s">
        <v>220</v>
      </c>
      <c r="D19" s="250" t="s">
        <v>221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</row>
    <row r="20" spans="1:119" customFormat="1" ht="18" x14ac:dyDescent="0.3">
      <c r="A20" s="20"/>
      <c r="B20" s="252" t="s">
        <v>163</v>
      </c>
      <c r="C20" s="205"/>
      <c r="D20" s="24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</row>
    <row r="21" spans="1:119" customFormat="1" ht="18" x14ac:dyDescent="0.3">
      <c r="A21" s="20"/>
      <c r="B21" s="253" t="s">
        <v>164</v>
      </c>
      <c r="C21" s="210"/>
      <c r="D21" s="246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</row>
    <row r="22" spans="1:119" customFormat="1" ht="18.600000000000001" thickBot="1" x14ac:dyDescent="0.35">
      <c r="B22" s="254" t="s">
        <v>165</v>
      </c>
      <c r="C22" s="255"/>
      <c r="D22" s="247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</row>
    <row r="27" spans="1:119" ht="25.8" x14ac:dyDescent="0.3">
      <c r="B27" s="243" t="s">
        <v>171</v>
      </c>
    </row>
    <row r="28" spans="1:119" ht="15" thickBot="1" x14ac:dyDescent="0.35"/>
    <row r="29" spans="1:119" ht="18.600000000000001" thickBot="1" x14ac:dyDescent="0.35">
      <c r="B29" s="650" t="s">
        <v>150</v>
      </c>
      <c r="C29" s="634" t="s">
        <v>220</v>
      </c>
      <c r="D29" s="649" t="s">
        <v>136</v>
      </c>
      <c r="E29" s="648" t="s">
        <v>221</v>
      </c>
      <c r="F29" s="649"/>
      <c r="G29" s="639" t="s">
        <v>198</v>
      </c>
    </row>
    <row r="30" spans="1:119" ht="18.600000000000001" thickBot="1" x14ac:dyDescent="0.35">
      <c r="B30" s="652"/>
      <c r="C30" s="274" t="s">
        <v>24</v>
      </c>
      <c r="D30" s="272" t="s">
        <v>63</v>
      </c>
      <c r="E30" s="277" t="s">
        <v>24</v>
      </c>
      <c r="F30" s="272" t="s">
        <v>63</v>
      </c>
      <c r="G30" s="640"/>
    </row>
    <row r="31" spans="1:119" ht="18" x14ac:dyDescent="0.3">
      <c r="B31" s="643" t="s">
        <v>81</v>
      </c>
      <c r="C31" s="275"/>
      <c r="D31" s="270"/>
      <c r="E31" s="278"/>
      <c r="F31" s="270"/>
      <c r="G31" s="279"/>
    </row>
    <row r="32" spans="1:119" ht="18" x14ac:dyDescent="0.35">
      <c r="B32" s="643"/>
      <c r="C32" s="275"/>
      <c r="D32" s="193"/>
      <c r="E32" s="145"/>
      <c r="F32" s="193"/>
      <c r="G32" s="280"/>
    </row>
    <row r="33" spans="2:7" ht="18" x14ac:dyDescent="0.35">
      <c r="B33" s="643"/>
      <c r="C33" s="275"/>
      <c r="D33" s="193"/>
      <c r="E33" s="145"/>
      <c r="F33" s="193"/>
      <c r="G33" s="280"/>
    </row>
    <row r="34" spans="2:7" ht="18" x14ac:dyDescent="0.35">
      <c r="B34" s="643"/>
      <c r="C34" s="275"/>
      <c r="D34" s="193"/>
      <c r="E34" s="145"/>
      <c r="F34" s="193"/>
      <c r="G34" s="280"/>
    </row>
    <row r="35" spans="2:7" ht="18" x14ac:dyDescent="0.35">
      <c r="B35" s="643"/>
      <c r="C35" s="275"/>
      <c r="D35" s="193"/>
      <c r="E35" s="145"/>
      <c r="F35" s="193"/>
      <c r="G35" s="280"/>
    </row>
    <row r="36" spans="2:7" ht="18.600000000000001" thickBot="1" x14ac:dyDescent="0.4">
      <c r="B36" s="644"/>
      <c r="C36" s="276"/>
      <c r="D36" s="271"/>
      <c r="E36" s="146"/>
      <c r="F36" s="271"/>
      <c r="G36" s="194"/>
    </row>
    <row r="41" spans="2:7" ht="25.8" x14ac:dyDescent="0.3">
      <c r="B41" s="243" t="s">
        <v>175</v>
      </c>
    </row>
    <row r="42" spans="2:7" ht="15" thickBot="1" x14ac:dyDescent="0.35"/>
    <row r="43" spans="2:7" ht="18.600000000000001" thickBot="1" x14ac:dyDescent="0.35">
      <c r="B43" s="637" t="s">
        <v>236</v>
      </c>
      <c r="C43" s="723" t="s">
        <v>220</v>
      </c>
      <c r="D43" s="588"/>
      <c r="E43" s="588" t="s">
        <v>221</v>
      </c>
      <c r="F43" s="588"/>
    </row>
    <row r="44" spans="2:7" ht="18.600000000000001" thickBot="1" x14ac:dyDescent="0.4">
      <c r="B44" s="591"/>
      <c r="C44" s="326" t="s">
        <v>20</v>
      </c>
      <c r="D44" s="327" t="s">
        <v>63</v>
      </c>
      <c r="E44" s="326" t="s">
        <v>201</v>
      </c>
      <c r="F44" s="329" t="s">
        <v>202</v>
      </c>
    </row>
    <row r="45" spans="2:7" ht="18" x14ac:dyDescent="0.35">
      <c r="B45" s="540" t="s">
        <v>237</v>
      </c>
      <c r="C45" s="316"/>
      <c r="D45" s="314"/>
      <c r="E45" s="316"/>
      <c r="F45" s="191"/>
    </row>
    <row r="46" spans="2:7" ht="18" x14ac:dyDescent="0.35">
      <c r="B46" s="541" t="s">
        <v>238</v>
      </c>
      <c r="C46" s="317"/>
      <c r="D46" s="315"/>
      <c r="E46" s="318"/>
      <c r="F46" s="192"/>
    </row>
    <row r="47" spans="2:7" ht="18" x14ac:dyDescent="0.35">
      <c r="B47" s="541" t="s">
        <v>239</v>
      </c>
      <c r="C47" s="318"/>
      <c r="D47" s="203"/>
      <c r="E47" s="324"/>
      <c r="F47" s="203"/>
    </row>
    <row r="48" spans="2:7" ht="18" x14ac:dyDescent="0.35">
      <c r="B48" s="541" t="s">
        <v>240</v>
      </c>
      <c r="C48" s="317"/>
      <c r="D48" s="315"/>
      <c r="E48" s="317"/>
      <c r="F48" s="203"/>
    </row>
    <row r="49" spans="2:6" ht="18" x14ac:dyDescent="0.35">
      <c r="B49" s="541" t="s">
        <v>241</v>
      </c>
      <c r="C49" s="318"/>
      <c r="D49" s="141"/>
      <c r="E49" s="318"/>
      <c r="F49" s="203"/>
    </row>
    <row r="50" spans="2:6" ht="18.600000000000001" thickBot="1" x14ac:dyDescent="0.4">
      <c r="B50" s="541" t="s">
        <v>242</v>
      </c>
      <c r="C50" s="319"/>
      <c r="D50" s="198"/>
      <c r="E50" s="319"/>
      <c r="F50" s="198"/>
    </row>
  </sheetData>
  <mergeCells count="10">
    <mergeCell ref="M2:M5"/>
    <mergeCell ref="B29:B30"/>
    <mergeCell ref="C29:D29"/>
    <mergeCell ref="E29:F29"/>
    <mergeCell ref="G29:G30"/>
    <mergeCell ref="E43:F43"/>
    <mergeCell ref="B31:B36"/>
    <mergeCell ref="B43:B44"/>
    <mergeCell ref="C43:D43"/>
    <mergeCell ref="C2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</vt:i4>
      </vt:variant>
    </vt:vector>
  </HeadingPairs>
  <TitlesOfParts>
    <vt:vector size="16" baseType="lpstr">
      <vt:lpstr>Chiffre d'affaires</vt:lpstr>
      <vt:lpstr>Parc Abonné</vt:lpstr>
      <vt:lpstr>Activation-Desativation  SIM</vt:lpstr>
      <vt:lpstr>Reclamation</vt:lpstr>
      <vt:lpstr>E-payement</vt:lpstr>
      <vt:lpstr>Encaissements</vt:lpstr>
      <vt:lpstr>Rechargement</vt:lpstr>
      <vt:lpstr>Recouvrement</vt:lpstr>
      <vt:lpstr>Reseau technique</vt:lpstr>
      <vt:lpstr>Qualité  Reseau </vt:lpstr>
      <vt:lpstr>creances contentieuses </vt:lpstr>
      <vt:lpstr>RH</vt:lpstr>
      <vt:lpstr>Formation</vt:lpstr>
      <vt:lpstr>CR</vt:lpstr>
      <vt:lpstr>DR's</vt:lpstr>
      <vt:lpstr>'Chiffre d''affaires'!Zone_d_impression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hillel chibane</dc:creator>
  <cp:lastModifiedBy>Dihia</cp:lastModifiedBy>
  <dcterms:created xsi:type="dcterms:W3CDTF">2017-05-10T10:50:51Z</dcterms:created>
  <dcterms:modified xsi:type="dcterms:W3CDTF">2026-04-06T14:08:47Z</dcterms:modified>
</cp:coreProperties>
</file>